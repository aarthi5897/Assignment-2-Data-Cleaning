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firstSheet="3" activeTab="6"/>
  </bookViews>
  <sheets>
    <sheet name="Removed Duplicates" sheetId="1" r:id="rId1"/>
    <sheet name="Handling Missing Values" sheetId="5" r:id="rId2"/>
    <sheet name="Category Imputation" sheetId="8" r:id="rId3"/>
    <sheet name="Number Formatting" sheetId="6" r:id="rId4"/>
    <sheet name="Correcting Inconsistent Data" sheetId="2" r:id="rId5"/>
    <sheet name="Splitting and Merging Data" sheetId="3" r:id="rId6"/>
    <sheet name="Conditional Formatt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<sst xmlns="http://schemas.openxmlformats.org/spreadsheetml/2006/main" count="755" uniqueCount="123">
  <si>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</si>
  <si>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</si>
  <si>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</si>
  <si>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</si>
  <si>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</si>
  <si>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</si>
  <si>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</si>
  <si>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</si>
  <si>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</si>
  <si>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</si>
  <si>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</si>
  <si>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</si>
  <si>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</si>
  <si>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</si>
  <si>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</si>
  <si>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</si>
  <si>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</si>
  <si>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</si>
  <si>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</si>
  <si>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</si>
  <si>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</si>
  <si>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</si>
  <si>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</si>
  <si>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</si>
  <si>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 xml:space="preserve">
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</si>
  <si>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</si>
  <si>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</si>
  <si>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</si>
  <si>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</si>
  <si>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</si>
  <si>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</si>
  <si>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</si>
  <si>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</si>
  <si>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</si>
  <si>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</si>
  <si>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</si>
  <si>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</si>
  <si>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</si>
  <si>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</si>
  <si>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</si>
  <si>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</si>
  <si>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</si>
  <si>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</si>
  <si>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</si>
  <si>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</si>
  <si>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</si>
  <si>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</si>
  <si>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</si>
  <si>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</si>
  <si>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</si>
  <si>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</si>
  <si>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</si>
  <si>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</si>
  <si>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</si>
  <si>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</si>
  <si>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</si>
  <si>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</si>
  <si>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</si>
  <si>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</si>
  <si>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</si>
  <si>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</si>
  <si>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</si>
  <si>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</si>
  <si>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</si>
  <si>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</si>
  <si>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</si>
  <si>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</si>
  <si>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</si>
  <si>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</si>
  <si>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</si>
  <si>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</si>
  <si>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</si>
  <si>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</si>
  <si>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</si>
  <si>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</si>
  <si>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</si>
  <si>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</si>
  <si>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</si>
  <si>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</si>
  <si>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</si>
  <si>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</si>
  <si>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</si>
  <si>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</si>
  <si>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</si>
  <si>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</si>
  <si>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</si>
  <si>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</si>
  <si>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</si>
  <si>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</si>
  <si>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</si>
  <si>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</si>
  <si>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</si>
  <si>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</si>
  <si>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</si>
  <si>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</si>
  <si>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</si>
  <si>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</si>
  <si>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</si>
  <si>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Missing Values </t>
  </si>
  <si>
    <t>Price Imputation</t>
  </si>
  <si>
    <t xml:space="preserve">Laptop </t>
  </si>
  <si>
    <t>Category Imputation</t>
  </si>
  <si>
    <t>Price($)</t>
  </si>
  <si>
    <t>Manufacturing Date</t>
  </si>
  <si>
    <t>Product Brand</t>
  </si>
  <si>
    <t>Manufaturing Date</t>
  </si>
  <si>
    <t>Country Code</t>
  </si>
  <si>
    <t>US</t>
  </si>
  <si>
    <t>UK</t>
  </si>
  <si>
    <t>T-Shirt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</si>
  <si>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</si>
  <si>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</si>
  <si>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</si>
  <si>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</si>
  <si>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</si>
  <si>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</si>
  <si>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</si>
  <si>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</si>
  <si>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</si>
  <si>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</si>
  <si>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Price</t>
  </si>
  <si>
    <t xml:space="preserve">Category 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</si>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</sst>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dd/mm/yyyy"/>
    <numFmt numFmtId="180" formatCode="[$-F800]dddd\,\ mmmm\ dd\,\ yyyy"/>
  </numFmts>
  <fonts count="27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8"/>
      <color rgb="FF000000"/>
      <name val="Arial"/>
      <charset val="1"/>
    </font>
    <font>
      <sz val="8"/>
      <color rgb="FF000000"/>
      <name val="Arial"/>
      <charset val="1"/>
    </font>
    <font>
      <sz val="9"/>
      <color theme="1"/>
      <name val="Helvetica"/>
      <charset val="1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42C7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F5F9"/>
        <bgColor indexed="64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10" borderId="11" applyNumberFormat="0" applyAlignment="0" applyProtection="0">
      <alignment vertical="center"/>
    </xf>
    <xf numFmtId="0" fontId="19" fillId="11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0" fillId="4" borderId="3" xfId="0" applyFill="1" applyBorder="1"/>
    <xf numFmtId="0" fontId="2" fillId="4" borderId="1" xfId="0" applyFont="1" applyFill="1" applyBorder="1"/>
    <xf numFmtId="0" fontId="3" fillId="0" borderId="4" xfId="0" applyFont="1" applyBorder="1"/>
    <xf numFmtId="0" fontId="0" fillId="0" borderId="5" xfId="0" applyBorder="1" applyAlignment="1">
      <alignment horizontal="left"/>
    </xf>
    <xf numFmtId="0" fontId="3" fillId="5" borderId="6" xfId="0" applyFont="1" applyFill="1" applyBorder="1"/>
    <xf numFmtId="0" fontId="3" fillId="5" borderId="7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5" borderId="4" xfId="0" applyFont="1" applyFill="1" applyBorder="1"/>
    <xf numFmtId="0" fontId="0" fillId="4" borderId="7" xfId="0" applyFill="1" applyBorder="1"/>
    <xf numFmtId="0" fontId="0" fillId="0" borderId="7" xfId="0" applyBorder="1"/>
    <xf numFmtId="0" fontId="4" fillId="0" borderId="4" xfId="0" applyFont="1" applyBorder="1" applyAlignment="1">
      <alignment wrapText="1"/>
    </xf>
    <xf numFmtId="0" fontId="4" fillId="5" borderId="7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0" fillId="4" borderId="0" xfId="0" applyFill="1"/>
    <xf numFmtId="0" fontId="5" fillId="6" borderId="0" xfId="0" applyFont="1" applyFill="1" applyBorder="1" applyAlignment="1"/>
    <xf numFmtId="178" fontId="0" fillId="0" borderId="0" xfId="0" applyNumberFormat="1"/>
    <xf numFmtId="179" fontId="6" fillId="0" borderId="0" xfId="0" applyNumberFormat="1" applyFont="1" applyFill="1" applyBorder="1" applyAlignment="1"/>
    <xf numFmtId="179" fontId="6" fillId="7" borderId="0" xfId="0" applyNumberFormat="1" applyFont="1" applyFill="1" applyBorder="1" applyAlignment="1"/>
    <xf numFmtId="180" fontId="0" fillId="0" borderId="0" xfId="0" applyNumberFormat="1"/>
    <xf numFmtId="0" fontId="6" fillId="0" borderId="0" xfId="0" applyFont="1" applyFill="1" applyBorder="1" applyAlignment="1"/>
    <xf numFmtId="0" fontId="6" fillId="7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I11" sqref="I11"/>
    </sheetView>
  </sheetViews>
  <sheetFormatPr defaultColWidth="9" defaultRowHeight="15" outlineLevelCol="5"/>
  <sheetData>
    <row r="1" spans="1: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8" t="s">
        <v>6</v>
      </c>
      <c r="B2" s="8" t="s">
        <v>7</v>
      </c>
      <c r="C2" s="8" t="s">
        <v>8</v>
      </c>
      <c r="D2" s="8">
        <v>1000</v>
      </c>
      <c r="E2" s="8">
        <v>30</v>
      </c>
      <c r="F2" s="8" t="s">
        <v>9</v>
      </c>
    </row>
    <row r="3" spans="1:6">
      <c r="A3" s="10" t="s">
        <v>10</v>
      </c>
      <c r="B3" s="11" t="s">
        <v>11</v>
      </c>
      <c r="C3" s="11" t="s">
        <v>12</v>
      </c>
      <c r="D3" s="11">
        <v>80</v>
      </c>
      <c r="E3" s="11">
        <v>15</v>
      </c>
      <c r="F3" s="11" t="s">
        <v>13</v>
      </c>
    </row>
    <row r="4" spans="1:6">
      <c r="A4" s="8" t="s">
        <v>14</v>
      </c>
      <c r="B4" s="8" t="s">
        <v>15</v>
      </c>
      <c r="C4" s="8" t="s">
        <v>16</v>
      </c>
      <c r="D4" s="8">
        <v>130</v>
      </c>
      <c r="E4" s="8">
        <v>40</v>
      </c>
      <c r="F4" s="8" t="s">
        <v>17</v>
      </c>
    </row>
    <row r="5" spans="1:6">
      <c r="A5" s="10" t="s">
        <v>18</v>
      </c>
      <c r="B5" s="11" t="s">
        <v>19</v>
      </c>
      <c r="C5" s="11" t="s">
        <v>20</v>
      </c>
      <c r="D5" s="11">
        <v>900</v>
      </c>
      <c r="E5" s="11">
        <v>25</v>
      </c>
      <c r="F5" s="11" t="s">
        <v>9</v>
      </c>
    </row>
    <row r="6" ht="24" spans="1:6">
      <c r="A6" s="8" t="s">
        <v>21</v>
      </c>
      <c r="B6" s="8" t="s">
        <v>22</v>
      </c>
      <c r="C6" s="8" t="s">
        <v>23</v>
      </c>
      <c r="D6" s="8">
        <v>70</v>
      </c>
      <c r="E6" s="8">
        <v>20</v>
      </c>
      <c r="F6" s="17" t="s">
        <v>24</v>
      </c>
    </row>
    <row r="7" ht="24" spans="1:6">
      <c r="A7" s="10" t="s">
        <v>25</v>
      </c>
      <c r="B7" s="11" t="s">
        <v>26</v>
      </c>
      <c r="C7" s="11" t="s">
        <v>27</v>
      </c>
      <c r="D7" s="18" t="s">
        <v>24</v>
      </c>
      <c r="E7" s="11">
        <v>45</v>
      </c>
      <c r="F7" s="11" t="s">
        <v>28</v>
      </c>
    </row>
    <row r="8" spans="1:6">
      <c r="A8" s="8" t="s">
        <v>29</v>
      </c>
      <c r="B8" s="8" t="s">
        <v>30</v>
      </c>
      <c r="C8" s="8" t="s">
        <v>31</v>
      </c>
      <c r="D8" s="8">
        <v>30</v>
      </c>
      <c r="E8" s="8">
        <v>5</v>
      </c>
      <c r="F8" s="8" t="s">
        <v>13</v>
      </c>
    </row>
    <row r="9" spans="1:6">
      <c r="A9" s="10" t="s">
        <v>32</v>
      </c>
      <c r="B9" s="11" t="s">
        <v>33</v>
      </c>
      <c r="C9" s="11" t="s">
        <v>34</v>
      </c>
      <c r="D9" s="11">
        <v>90</v>
      </c>
      <c r="E9" s="11">
        <v>35</v>
      </c>
      <c r="F9" s="11" t="s">
        <v>17</v>
      </c>
    </row>
    <row r="10" spans="1:6">
      <c r="A10" s="8" t="s">
        <v>35</v>
      </c>
      <c r="B10" s="8" t="s">
        <v>36</v>
      </c>
      <c r="C10" s="8" t="s">
        <v>37</v>
      </c>
      <c r="D10" s="8">
        <v>500</v>
      </c>
      <c r="E10" s="8">
        <v>50</v>
      </c>
      <c r="F10" s="8" t="s">
        <v>9</v>
      </c>
    </row>
    <row r="11" spans="1:6">
      <c r="A11" s="10" t="s">
        <v>38</v>
      </c>
      <c r="B11" s="11" t="s">
        <v>39</v>
      </c>
      <c r="C11" s="11" t="s">
        <v>40</v>
      </c>
      <c r="D11" s="11">
        <v>130</v>
      </c>
      <c r="E11" s="11">
        <v>10</v>
      </c>
      <c r="F11" s="11" t="s">
        <v>41</v>
      </c>
    </row>
    <row r="12" spans="1:6">
      <c r="A12" s="8" t="s">
        <v>42</v>
      </c>
      <c r="B12" s="8" t="s">
        <v>43</v>
      </c>
      <c r="C12" s="8" t="s">
        <v>44</v>
      </c>
      <c r="D12" s="8">
        <v>950</v>
      </c>
      <c r="E12" s="8">
        <v>25</v>
      </c>
      <c r="F12" s="8" t="s">
        <v>9</v>
      </c>
    </row>
    <row r="13" ht="24" spans="1:6">
      <c r="A13" s="10" t="s">
        <v>45</v>
      </c>
      <c r="B13" s="11" t="s">
        <v>11</v>
      </c>
      <c r="C13" s="11" t="s">
        <v>31</v>
      </c>
      <c r="D13" s="11">
        <v>90</v>
      </c>
      <c r="E13" s="11">
        <v>40</v>
      </c>
      <c r="F13" s="18" t="s">
        <v>24</v>
      </c>
    </row>
    <row r="14" ht="24" spans="1:6">
      <c r="A14" s="8" t="s">
        <v>46</v>
      </c>
      <c r="B14" s="8" t="s">
        <v>15</v>
      </c>
      <c r="C14" s="8" t="s">
        <v>47</v>
      </c>
      <c r="D14" s="8">
        <v>120</v>
      </c>
      <c r="E14" s="8">
        <v>35</v>
      </c>
      <c r="F14" s="17" t="s">
        <v>24</v>
      </c>
    </row>
    <row r="15" spans="1:6">
      <c r="A15" s="10" t="s">
        <v>48</v>
      </c>
      <c r="B15" s="11" t="s">
        <v>49</v>
      </c>
      <c r="C15" s="11" t="s">
        <v>50</v>
      </c>
      <c r="D15" s="11">
        <v>150</v>
      </c>
      <c r="E15" s="11">
        <v>15</v>
      </c>
      <c r="F15" s="11" t="s">
        <v>28</v>
      </c>
    </row>
    <row r="16" spans="1:6">
      <c r="A16" s="8" t="s">
        <v>51</v>
      </c>
      <c r="B16" s="8" t="s">
        <v>52</v>
      </c>
      <c r="C16" s="8" t="s">
        <v>53</v>
      </c>
      <c r="D16" s="8">
        <v>250</v>
      </c>
      <c r="E16" s="8">
        <v>20</v>
      </c>
      <c r="F16" s="8" t="s">
        <v>28</v>
      </c>
    </row>
    <row r="17" spans="1:6">
      <c r="A17" s="10" t="s">
        <v>54</v>
      </c>
      <c r="B17" s="11" t="s">
        <v>55</v>
      </c>
      <c r="C17" s="11" t="s">
        <v>56</v>
      </c>
      <c r="D17" s="11">
        <v>50</v>
      </c>
      <c r="E17" s="11">
        <v>35</v>
      </c>
      <c r="F17" s="11" t="s">
        <v>57</v>
      </c>
    </row>
    <row r="18" spans="1:6">
      <c r="A18" s="8" t="s">
        <v>58</v>
      </c>
      <c r="B18" s="8" t="s">
        <v>49</v>
      </c>
      <c r="C18" s="8" t="s">
        <v>59</v>
      </c>
      <c r="D18" s="8">
        <v>160</v>
      </c>
      <c r="E18" s="8">
        <v>15</v>
      </c>
      <c r="F18" s="8" t="s">
        <v>28</v>
      </c>
    </row>
    <row r="19" spans="1:6">
      <c r="A19" s="10" t="s">
        <v>60</v>
      </c>
      <c r="B19" s="11" t="s">
        <v>7</v>
      </c>
      <c r="C19" s="11" t="s">
        <v>61</v>
      </c>
      <c r="D19" s="11">
        <v>980</v>
      </c>
      <c r="E19" s="11">
        <v>10</v>
      </c>
      <c r="F19" s="11" t="s">
        <v>9</v>
      </c>
    </row>
    <row r="20" spans="1:6">
      <c r="A20" s="8" t="s">
        <v>62</v>
      </c>
      <c r="B20" s="8" t="s">
        <v>63</v>
      </c>
      <c r="C20" s="8" t="s">
        <v>64</v>
      </c>
      <c r="D20" s="8">
        <v>150</v>
      </c>
      <c r="E20" s="8">
        <v>15</v>
      </c>
      <c r="F20" s="8" t="s">
        <v>13</v>
      </c>
    </row>
    <row r="21" ht="24" spans="1:6">
      <c r="A21" s="10" t="s">
        <v>65</v>
      </c>
      <c r="B21" s="11" t="s">
        <v>66</v>
      </c>
      <c r="C21" s="11" t="s">
        <v>67</v>
      </c>
      <c r="D21" s="18" t="s">
        <v>24</v>
      </c>
      <c r="E21" s="11">
        <v>10</v>
      </c>
      <c r="F21" s="11" t="s">
        <v>41</v>
      </c>
    </row>
    <row r="22" spans="1:6">
      <c r="A22" s="8" t="s">
        <v>68</v>
      </c>
      <c r="B22" s="8" t="s">
        <v>69</v>
      </c>
      <c r="C22" s="8" t="s">
        <v>70</v>
      </c>
      <c r="D22" s="8">
        <v>700</v>
      </c>
      <c r="E22" s="8">
        <v>50</v>
      </c>
      <c r="F22" s="8" t="s">
        <v>9</v>
      </c>
    </row>
    <row r="23" spans="1:6">
      <c r="A23" s="10" t="s">
        <v>71</v>
      </c>
      <c r="B23" s="11" t="s">
        <v>72</v>
      </c>
      <c r="C23" s="11" t="s">
        <v>73</v>
      </c>
      <c r="D23" s="11">
        <v>80</v>
      </c>
      <c r="E23" s="11">
        <v>20</v>
      </c>
      <c r="F23" s="11" t="s">
        <v>17</v>
      </c>
    </row>
    <row r="24" ht="24" spans="1:6">
      <c r="A24" s="8" t="s">
        <v>74</v>
      </c>
      <c r="B24" s="8" t="s">
        <v>75</v>
      </c>
      <c r="C24" s="8" t="s">
        <v>76</v>
      </c>
      <c r="D24" s="8">
        <v>150</v>
      </c>
      <c r="E24" s="8">
        <v>30</v>
      </c>
      <c r="F24" s="17" t="s">
        <v>24</v>
      </c>
    </row>
    <row r="25" spans="1:6">
      <c r="A25" s="12" t="s">
        <v>77</v>
      </c>
      <c r="B25" s="13" t="s">
        <v>78</v>
      </c>
      <c r="C25" s="13" t="s">
        <v>79</v>
      </c>
      <c r="D25" s="13">
        <v>800</v>
      </c>
      <c r="E25" s="13">
        <v>45</v>
      </c>
      <c r="F25" s="13" t="s">
        <v>9</v>
      </c>
    </row>
    <row r="26" ht="24" spans="1:6">
      <c r="A26" s="14" t="s">
        <v>80</v>
      </c>
      <c r="B26" s="14" t="s">
        <v>63</v>
      </c>
      <c r="C26" s="14" t="s">
        <v>81</v>
      </c>
      <c r="D26" s="19" t="s">
        <v>24</v>
      </c>
      <c r="E26" s="14">
        <v>25</v>
      </c>
      <c r="F26" s="14" t="s">
        <v>13</v>
      </c>
    </row>
    <row r="27" spans="1:6">
      <c r="A27" s="12" t="s">
        <v>82</v>
      </c>
      <c r="B27" s="13" t="s">
        <v>33</v>
      </c>
      <c r="C27" s="13" t="s">
        <v>83</v>
      </c>
      <c r="D27" s="13">
        <v>400</v>
      </c>
      <c r="E27" s="13">
        <v>40</v>
      </c>
      <c r="F27" s="13" t="s">
        <v>17</v>
      </c>
    </row>
    <row r="28" spans="1:6">
      <c r="A28" s="8" t="s">
        <v>84</v>
      </c>
      <c r="B28" s="8" t="s">
        <v>85</v>
      </c>
      <c r="C28" s="8" t="s">
        <v>86</v>
      </c>
      <c r="D28" s="8">
        <v>60</v>
      </c>
      <c r="E28" s="8">
        <v>30</v>
      </c>
      <c r="F28" s="8" t="s">
        <v>13</v>
      </c>
    </row>
    <row r="29" spans="1:6">
      <c r="A29" s="10" t="s">
        <v>87</v>
      </c>
      <c r="B29" s="11" t="s">
        <v>88</v>
      </c>
      <c r="C29" s="11" t="s">
        <v>89</v>
      </c>
      <c r="D29" s="11">
        <v>40</v>
      </c>
      <c r="E29" s="11">
        <v>10</v>
      </c>
      <c r="F29" s="11" t="s">
        <v>17</v>
      </c>
    </row>
    <row r="30" spans="1:6">
      <c r="A30" s="8" t="s">
        <v>90</v>
      </c>
      <c r="B30" s="8" t="s">
        <v>75</v>
      </c>
      <c r="C30" s="8" t="s">
        <v>91</v>
      </c>
      <c r="D30" s="8">
        <v>130</v>
      </c>
      <c r="E30" s="8">
        <v>5</v>
      </c>
      <c r="F30" s="8" t="s">
        <v>9</v>
      </c>
    </row>
    <row r="31" spans="1:6">
      <c r="A31" s="10" t="s">
        <v>92</v>
      </c>
      <c r="B31" s="11" t="s">
        <v>93</v>
      </c>
      <c r="C31" s="11" t="s">
        <v>94</v>
      </c>
      <c r="D31" s="11">
        <v>50</v>
      </c>
      <c r="E31" s="11">
        <v>50</v>
      </c>
      <c r="F31" s="11" t="s">
        <v>13</v>
      </c>
    </row>
    <row r="32" spans="1:6">
      <c r="A32" s="14" t="s">
        <v>95</v>
      </c>
      <c r="B32" s="14" t="s">
        <v>96</v>
      </c>
      <c r="C32" s="14" t="s">
        <v>97</v>
      </c>
      <c r="D32" s="14">
        <v>100</v>
      </c>
      <c r="E32" s="14">
        <v>20</v>
      </c>
      <c r="F32" s="14" t="s">
        <v>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K24" sqref="K24"/>
    </sheetView>
  </sheetViews>
  <sheetFormatPr defaultColWidth="9" defaultRowHeight="15"/>
  <cols>
    <col min="1" max="1" width="11.1428571428571" customWidth="1"/>
    <col min="2" max="2" width="14.1428571428571" customWidth="1"/>
    <col min="3" max="3" width="12.1428571428571" customWidth="1"/>
    <col min="6" max="7" width="11.1428571428571" customWidth="1"/>
    <col min="8" max="8" width="19.4285714285714" customWidth="1"/>
    <col min="9" max="9" width="15.8571428571429" customWidth="1"/>
  </cols>
  <sheetData>
    <row r="1" spans="1:9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5" t="s">
        <v>5</v>
      </c>
      <c r="H1" s="20" t="s">
        <v>98</v>
      </c>
      <c r="I1" s="20" t="s">
        <v>99</v>
      </c>
    </row>
    <row r="2" spans="1:9">
      <c r="A2" s="26" t="s">
        <v>6</v>
      </c>
      <c r="B2" s="26" t="s">
        <v>100</v>
      </c>
      <c r="C2" s="26" t="s">
        <v>8</v>
      </c>
      <c r="D2" s="26">
        <v>1000</v>
      </c>
      <c r="E2" s="26">
        <v>30</v>
      </c>
      <c r="F2" s="8" t="s">
        <v>9</v>
      </c>
      <c r="H2" t="b" cm="1">
        <f t="array" ref="H2:H32">ISBLANK(D2:D32)</f>
        <v>0</v>
      </c>
      <c r="I2">
        <f>IF(ISBLANK(D2),AVERAGEIF($B$2:$B$32,B2,$D$2:$D$32),D2)</f>
        <v>1000</v>
      </c>
    </row>
    <row r="3" spans="1:9">
      <c r="A3" s="27" t="s">
        <v>10</v>
      </c>
      <c r="B3" s="27" t="s">
        <v>11</v>
      </c>
      <c r="C3" s="27" t="s">
        <v>12</v>
      </c>
      <c r="D3" s="27">
        <v>80</v>
      </c>
      <c r="E3" s="27">
        <v>15</v>
      </c>
      <c r="F3" s="11" t="s">
        <v>13</v>
      </c>
      <c r="H3" t="b">
        <v>0</v>
      </c>
      <c r="I3">
        <f t="shared" ref="I3:I32" si="0">IF(ISBLANK(D3),AVERAGEIF($B$2:$B$32,B3,$D$2:$D$32),D3)</f>
        <v>80</v>
      </c>
    </row>
    <row r="4" spans="1:9">
      <c r="A4" s="26" t="s">
        <v>14</v>
      </c>
      <c r="B4" s="26" t="s">
        <v>15</v>
      </c>
      <c r="C4" s="26" t="s">
        <v>16</v>
      </c>
      <c r="D4" s="26">
        <v>130</v>
      </c>
      <c r="E4" s="26">
        <v>40</v>
      </c>
      <c r="F4" s="8" t="s">
        <v>17</v>
      </c>
      <c r="H4" t="b">
        <v>0</v>
      </c>
      <c r="I4">
        <f t="shared" si="0"/>
        <v>130</v>
      </c>
    </row>
    <row r="5" spans="1:9">
      <c r="A5" s="27" t="s">
        <v>18</v>
      </c>
      <c r="B5" s="27" t="s">
        <v>78</v>
      </c>
      <c r="C5" s="27" t="s">
        <v>20</v>
      </c>
      <c r="D5" s="27">
        <v>900</v>
      </c>
      <c r="E5" s="27">
        <v>25</v>
      </c>
      <c r="F5" s="11" t="s">
        <v>9</v>
      </c>
      <c r="H5" t="b">
        <v>0</v>
      </c>
      <c r="I5">
        <f t="shared" si="0"/>
        <v>900</v>
      </c>
    </row>
    <row r="6" ht="24" spans="1:9">
      <c r="A6" s="26" t="s">
        <v>21</v>
      </c>
      <c r="B6" s="26" t="s">
        <v>22</v>
      </c>
      <c r="C6" s="26" t="s">
        <v>23</v>
      </c>
      <c r="D6" s="26">
        <v>70</v>
      </c>
      <c r="E6" s="26">
        <v>20</v>
      </c>
      <c r="F6" s="17" t="s">
        <v>24</v>
      </c>
      <c r="H6" t="b">
        <v>0</v>
      </c>
      <c r="I6">
        <f t="shared" si="0"/>
        <v>70</v>
      </c>
    </row>
    <row r="7" ht="14.25" customHeight="1" spans="1:9">
      <c r="A7" s="27" t="s">
        <v>25</v>
      </c>
      <c r="B7" s="27" t="s">
        <v>26</v>
      </c>
      <c r="C7" s="27" t="s">
        <v>27</v>
      </c>
      <c r="D7" s="27"/>
      <c r="E7" s="27">
        <v>45</v>
      </c>
      <c r="F7" s="11" t="s">
        <v>9</v>
      </c>
      <c r="H7" t="b">
        <v>1</v>
      </c>
      <c r="I7">
        <f t="shared" si="0"/>
        <v>250</v>
      </c>
    </row>
    <row r="8" spans="1:9">
      <c r="A8" s="26" t="s">
        <v>29</v>
      </c>
      <c r="B8" s="26" t="s">
        <v>30</v>
      </c>
      <c r="C8" s="26" t="s">
        <v>31</v>
      </c>
      <c r="D8" s="26">
        <v>30</v>
      </c>
      <c r="E8" s="26">
        <v>5</v>
      </c>
      <c r="F8" s="8" t="s">
        <v>13</v>
      </c>
      <c r="H8" t="b">
        <v>0</v>
      </c>
      <c r="I8">
        <f t="shared" si="0"/>
        <v>30</v>
      </c>
    </row>
    <row r="9" spans="1:9">
      <c r="A9" s="27" t="s">
        <v>32</v>
      </c>
      <c r="B9" s="27" t="s">
        <v>33</v>
      </c>
      <c r="C9" s="27" t="s">
        <v>34</v>
      </c>
      <c r="D9" s="27">
        <v>90</v>
      </c>
      <c r="E9" s="27">
        <v>35</v>
      </c>
      <c r="F9" s="11" t="s">
        <v>17</v>
      </c>
      <c r="H9" t="b">
        <v>0</v>
      </c>
      <c r="I9">
        <f t="shared" si="0"/>
        <v>90</v>
      </c>
    </row>
    <row r="10" spans="1:9">
      <c r="A10" s="26" t="s">
        <v>35</v>
      </c>
      <c r="B10" s="26" t="s">
        <v>36</v>
      </c>
      <c r="C10" s="26" t="s">
        <v>37</v>
      </c>
      <c r="D10" s="26">
        <v>500</v>
      </c>
      <c r="E10" s="26">
        <v>50</v>
      </c>
      <c r="F10" s="8" t="s">
        <v>9</v>
      </c>
      <c r="H10" t="b">
        <v>0</v>
      </c>
      <c r="I10">
        <f t="shared" si="0"/>
        <v>500</v>
      </c>
    </row>
    <row r="11" spans="1:9">
      <c r="A11" s="27" t="s">
        <v>38</v>
      </c>
      <c r="B11" s="27" t="s">
        <v>39</v>
      </c>
      <c r="C11" s="27" t="s">
        <v>40</v>
      </c>
      <c r="D11" s="27">
        <v>130</v>
      </c>
      <c r="E11" s="27">
        <v>10</v>
      </c>
      <c r="F11" s="11" t="s">
        <v>41</v>
      </c>
      <c r="H11" t="b">
        <v>0</v>
      </c>
      <c r="I11">
        <f t="shared" si="0"/>
        <v>130</v>
      </c>
    </row>
    <row r="12" spans="1:9">
      <c r="A12" s="26" t="s">
        <v>42</v>
      </c>
      <c r="B12" s="26" t="s">
        <v>43</v>
      </c>
      <c r="C12" s="26" t="s">
        <v>44</v>
      </c>
      <c r="D12" s="26">
        <v>950</v>
      </c>
      <c r="E12" s="26">
        <v>25</v>
      </c>
      <c r="F12" s="8" t="s">
        <v>9</v>
      </c>
      <c r="H12" t="b">
        <v>0</v>
      </c>
      <c r="I12">
        <f t="shared" si="0"/>
        <v>950</v>
      </c>
    </row>
    <row r="13" ht="24" spans="1:9">
      <c r="A13" s="27" t="s">
        <v>45</v>
      </c>
      <c r="B13" s="27" t="s">
        <v>11</v>
      </c>
      <c r="C13" s="27" t="s">
        <v>31</v>
      </c>
      <c r="D13" s="27">
        <v>90</v>
      </c>
      <c r="E13" s="27">
        <v>40</v>
      </c>
      <c r="F13" s="18" t="s">
        <v>24</v>
      </c>
      <c r="H13" t="b">
        <v>0</v>
      </c>
      <c r="I13">
        <f t="shared" si="0"/>
        <v>90</v>
      </c>
    </row>
    <row r="14" ht="24" spans="1:9">
      <c r="A14" s="26" t="s">
        <v>46</v>
      </c>
      <c r="B14" s="26" t="s">
        <v>15</v>
      </c>
      <c r="C14" s="26" t="s">
        <v>47</v>
      </c>
      <c r="D14" s="26">
        <v>120</v>
      </c>
      <c r="E14" s="26">
        <v>35</v>
      </c>
      <c r="F14" s="17" t="s">
        <v>24</v>
      </c>
      <c r="H14" t="b">
        <v>0</v>
      </c>
      <c r="I14">
        <f t="shared" si="0"/>
        <v>120</v>
      </c>
    </row>
    <row r="15" spans="1:9">
      <c r="A15" s="27" t="s">
        <v>48</v>
      </c>
      <c r="B15" s="27" t="s">
        <v>49</v>
      </c>
      <c r="C15" s="27" t="s">
        <v>50</v>
      </c>
      <c r="D15" s="27">
        <v>150</v>
      </c>
      <c r="E15" s="27">
        <v>15</v>
      </c>
      <c r="F15" s="11" t="s">
        <v>9</v>
      </c>
      <c r="H15" t="b">
        <v>0</v>
      </c>
      <c r="I15">
        <f t="shared" si="0"/>
        <v>150</v>
      </c>
    </row>
    <row r="16" spans="1:9">
      <c r="A16" s="26" t="s">
        <v>51</v>
      </c>
      <c r="B16" s="26" t="s">
        <v>26</v>
      </c>
      <c r="C16" s="26" t="s">
        <v>53</v>
      </c>
      <c r="D16" s="26">
        <v>250</v>
      </c>
      <c r="E16" s="26">
        <v>20</v>
      </c>
      <c r="F16" s="8" t="s">
        <v>9</v>
      </c>
      <c r="H16" t="b">
        <v>0</v>
      </c>
      <c r="I16">
        <f t="shared" si="0"/>
        <v>250</v>
      </c>
    </row>
    <row r="17" spans="1:9">
      <c r="A17" s="27" t="s">
        <v>54</v>
      </c>
      <c r="B17" s="27" t="s">
        <v>55</v>
      </c>
      <c r="C17" s="27" t="s">
        <v>56</v>
      </c>
      <c r="D17" s="27">
        <v>50</v>
      </c>
      <c r="E17" s="27">
        <v>35</v>
      </c>
      <c r="F17" s="11" t="s">
        <v>57</v>
      </c>
      <c r="H17" t="b">
        <v>0</v>
      </c>
      <c r="I17">
        <f t="shared" si="0"/>
        <v>50</v>
      </c>
    </row>
    <row r="18" spans="1:9">
      <c r="A18" s="26" t="s">
        <v>58</v>
      </c>
      <c r="B18" s="26" t="s">
        <v>49</v>
      </c>
      <c r="C18" s="26" t="s">
        <v>59</v>
      </c>
      <c r="D18" s="26">
        <v>160</v>
      </c>
      <c r="E18" s="26">
        <v>15</v>
      </c>
      <c r="F18" s="8" t="s">
        <v>9</v>
      </c>
      <c r="H18" t="b">
        <v>0</v>
      </c>
      <c r="I18">
        <f t="shared" si="0"/>
        <v>160</v>
      </c>
    </row>
    <row r="19" spans="1:9">
      <c r="A19" s="27" t="s">
        <v>60</v>
      </c>
      <c r="B19" s="27" t="s">
        <v>100</v>
      </c>
      <c r="C19" s="27" t="s">
        <v>61</v>
      </c>
      <c r="D19" s="27">
        <v>980</v>
      </c>
      <c r="E19" s="27">
        <v>10</v>
      </c>
      <c r="F19" s="11" t="s">
        <v>9</v>
      </c>
      <c r="H19" t="b">
        <v>0</v>
      </c>
      <c r="I19">
        <f t="shared" si="0"/>
        <v>980</v>
      </c>
    </row>
    <row r="20" spans="1:9">
      <c r="A20" s="26" t="s">
        <v>62</v>
      </c>
      <c r="B20" s="26" t="s">
        <v>63</v>
      </c>
      <c r="C20" s="26" t="s">
        <v>64</v>
      </c>
      <c r="D20" s="26">
        <v>150</v>
      </c>
      <c r="E20" s="26">
        <v>15</v>
      </c>
      <c r="F20" s="8" t="s">
        <v>13</v>
      </c>
      <c r="H20" t="b">
        <v>0</v>
      </c>
      <c r="I20">
        <f t="shared" si="0"/>
        <v>150</v>
      </c>
    </row>
    <row r="21" ht="14.25" customHeight="1" spans="1:9">
      <c r="A21" s="27" t="s">
        <v>65</v>
      </c>
      <c r="B21" s="27" t="s">
        <v>66</v>
      </c>
      <c r="C21" s="27" t="s">
        <v>67</v>
      </c>
      <c r="D21" s="27"/>
      <c r="E21" s="27">
        <v>10</v>
      </c>
      <c r="F21" s="11" t="s">
        <v>41</v>
      </c>
      <c r="H21" t="b">
        <v>1</v>
      </c>
      <c r="I21">
        <f>IFERROR(D2,_xlfn.AGGREGATE(1,6,D2:D32))</f>
        <v>1000</v>
      </c>
    </row>
    <row r="22" spans="1:9">
      <c r="A22" s="26" t="s">
        <v>68</v>
      </c>
      <c r="B22" s="26" t="s">
        <v>69</v>
      </c>
      <c r="C22" s="26" t="s">
        <v>70</v>
      </c>
      <c r="D22" s="26">
        <v>700</v>
      </c>
      <c r="E22" s="26">
        <v>50</v>
      </c>
      <c r="F22" s="8" t="s">
        <v>9</v>
      </c>
      <c r="H22" t="b">
        <v>0</v>
      </c>
      <c r="I22">
        <f t="shared" si="0"/>
        <v>700</v>
      </c>
    </row>
    <row r="23" spans="1:9">
      <c r="A23" s="27" t="s">
        <v>71</v>
      </c>
      <c r="B23" s="27" t="s">
        <v>72</v>
      </c>
      <c r="C23" s="27" t="s">
        <v>73</v>
      </c>
      <c r="D23" s="27">
        <v>80</v>
      </c>
      <c r="E23" s="27">
        <v>20</v>
      </c>
      <c r="F23" s="11" t="s">
        <v>17</v>
      </c>
      <c r="H23" t="b">
        <v>0</v>
      </c>
      <c r="I23">
        <f t="shared" si="0"/>
        <v>80</v>
      </c>
    </row>
    <row r="24" ht="24" spans="1:9">
      <c r="A24" s="26" t="s">
        <v>74</v>
      </c>
      <c r="B24" s="26" t="s">
        <v>75</v>
      </c>
      <c r="C24" s="26" t="s">
        <v>76</v>
      </c>
      <c r="D24" s="26">
        <v>150</v>
      </c>
      <c r="E24" s="26">
        <v>30</v>
      </c>
      <c r="F24" s="17" t="s">
        <v>24</v>
      </c>
      <c r="H24" t="b">
        <v>0</v>
      </c>
      <c r="I24">
        <f t="shared" si="0"/>
        <v>150</v>
      </c>
    </row>
    <row r="25" spans="1:9">
      <c r="A25" s="26" t="s">
        <v>77</v>
      </c>
      <c r="B25" s="26" t="s">
        <v>78</v>
      </c>
      <c r="C25" s="26" t="s">
        <v>79</v>
      </c>
      <c r="D25" s="26">
        <v>800</v>
      </c>
      <c r="E25" s="26">
        <v>45</v>
      </c>
      <c r="F25" s="13" t="s">
        <v>9</v>
      </c>
      <c r="H25" t="b">
        <v>0</v>
      </c>
      <c r="I25">
        <f t="shared" si="0"/>
        <v>800</v>
      </c>
    </row>
    <row r="26" ht="12.75" customHeight="1" spans="1:9">
      <c r="A26" s="27" t="s">
        <v>80</v>
      </c>
      <c r="B26" s="27" t="s">
        <v>63</v>
      </c>
      <c r="C26" s="27" t="s">
        <v>81</v>
      </c>
      <c r="D26" s="27"/>
      <c r="E26" s="27">
        <v>25</v>
      </c>
      <c r="F26" s="14" t="s">
        <v>13</v>
      </c>
      <c r="H26" t="b">
        <v>1</v>
      </c>
      <c r="I26">
        <f t="shared" si="0"/>
        <v>150</v>
      </c>
    </row>
    <row r="27" spans="1:9">
      <c r="A27" s="26" t="s">
        <v>82</v>
      </c>
      <c r="B27" s="26" t="s">
        <v>33</v>
      </c>
      <c r="C27" s="26" t="s">
        <v>83</v>
      </c>
      <c r="D27" s="26">
        <v>400</v>
      </c>
      <c r="E27" s="26">
        <v>40</v>
      </c>
      <c r="F27" s="13" t="s">
        <v>17</v>
      </c>
      <c r="H27" t="b">
        <v>0</v>
      </c>
      <c r="I27">
        <f t="shared" si="0"/>
        <v>400</v>
      </c>
    </row>
    <row r="28" spans="1:9">
      <c r="A28" s="26" t="s">
        <v>84</v>
      </c>
      <c r="B28" s="26" t="s">
        <v>85</v>
      </c>
      <c r="C28" s="26" t="s">
        <v>86</v>
      </c>
      <c r="D28" s="26">
        <v>60</v>
      </c>
      <c r="E28" s="26">
        <v>30</v>
      </c>
      <c r="F28" s="8" t="s">
        <v>13</v>
      </c>
      <c r="H28" t="b">
        <v>0</v>
      </c>
      <c r="I28">
        <f t="shared" si="0"/>
        <v>60</v>
      </c>
    </row>
    <row r="29" spans="1:9">
      <c r="A29" s="27" t="s">
        <v>87</v>
      </c>
      <c r="B29" s="27" t="s">
        <v>88</v>
      </c>
      <c r="C29" s="27" t="s">
        <v>89</v>
      </c>
      <c r="D29" s="27">
        <v>40</v>
      </c>
      <c r="E29" s="27">
        <v>10</v>
      </c>
      <c r="F29" s="11" t="s">
        <v>17</v>
      </c>
      <c r="H29" t="b">
        <v>0</v>
      </c>
      <c r="I29">
        <f t="shared" si="0"/>
        <v>40</v>
      </c>
    </row>
    <row r="30" spans="1:9">
      <c r="A30" s="26" t="s">
        <v>90</v>
      </c>
      <c r="B30" s="26" t="s">
        <v>75</v>
      </c>
      <c r="C30" s="26" t="s">
        <v>91</v>
      </c>
      <c r="D30" s="26">
        <v>130</v>
      </c>
      <c r="E30" s="26">
        <v>5</v>
      </c>
      <c r="F30" s="8" t="s">
        <v>9</v>
      </c>
      <c r="H30" t="b">
        <v>0</v>
      </c>
      <c r="I30">
        <f t="shared" si="0"/>
        <v>130</v>
      </c>
    </row>
    <row r="31" spans="1:9">
      <c r="A31" s="27" t="s">
        <v>92</v>
      </c>
      <c r="B31" s="27" t="s">
        <v>93</v>
      </c>
      <c r="C31" s="27" t="s">
        <v>94</v>
      </c>
      <c r="D31" s="27">
        <v>50</v>
      </c>
      <c r="E31" s="27">
        <v>50</v>
      </c>
      <c r="F31" s="11" t="s">
        <v>13</v>
      </c>
      <c r="H31" t="b">
        <v>0</v>
      </c>
      <c r="I31">
        <f t="shared" si="0"/>
        <v>50</v>
      </c>
    </row>
    <row r="32" spans="1:9">
      <c r="A32" s="27" t="s">
        <v>95</v>
      </c>
      <c r="B32" s="27" t="s">
        <v>96</v>
      </c>
      <c r="C32" s="27" t="s">
        <v>97</v>
      </c>
      <c r="D32" s="27">
        <v>100</v>
      </c>
      <c r="E32" s="27">
        <v>20</v>
      </c>
      <c r="F32" s="14" t="s">
        <v>57</v>
      </c>
      <c r="H32" t="b">
        <v>0</v>
      </c>
      <c r="I32">
        <f t="shared" si="0"/>
        <v>100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selection activeCell="J9" sqref="J9"/>
    </sheetView>
  </sheetViews>
  <sheetFormatPr defaultColWidth="9" defaultRowHeight="15" outlineLevelCol="7"/>
  <cols>
    <col min="2" max="2" width="14.1428571428571" customWidth="1"/>
    <col min="3" max="3" width="12.1428571428571" customWidth="1"/>
    <col min="6" max="6" width="11.1428571428571" customWidth="1"/>
    <col min="8" max="8" width="19.4285714285714" customWidth="1"/>
  </cols>
  <sheetData>
    <row r="1" spans="1:8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H1" s="20" t="s">
        <v>101</v>
      </c>
    </row>
    <row r="2" spans="1:8">
      <c r="A2" s="26" t="s">
        <v>6</v>
      </c>
      <c r="B2" s="26" t="s">
        <v>7</v>
      </c>
      <c r="C2" s="26" t="s">
        <v>8</v>
      </c>
      <c r="D2" s="26">
        <v>1000</v>
      </c>
      <c r="E2" s="26">
        <v>30</v>
      </c>
      <c r="F2" s="26" t="s">
        <v>9</v>
      </c>
      <c r="H2" t="str">
        <f>IF(ISBLANK(F2),"UNKNOWN",F2)</f>
        <v>Electronics</v>
      </c>
    </row>
    <row r="3" spans="1:8">
      <c r="A3" s="27" t="s">
        <v>10</v>
      </c>
      <c r="B3" s="27" t="s">
        <v>11</v>
      </c>
      <c r="C3" s="27" t="s">
        <v>12</v>
      </c>
      <c r="D3" s="27">
        <v>80</v>
      </c>
      <c r="E3" s="27">
        <v>15</v>
      </c>
      <c r="F3" s="27" t="s">
        <v>13</v>
      </c>
      <c r="H3" t="str">
        <f t="shared" ref="H3:H32" si="0">IF(ISBLANK(F3),"UNKNOWN",F3)</f>
        <v>Fashion</v>
      </c>
    </row>
    <row r="4" spans="1:8">
      <c r="A4" s="26" t="s">
        <v>14</v>
      </c>
      <c r="B4" s="26" t="s">
        <v>15</v>
      </c>
      <c r="C4" s="26" t="s">
        <v>16</v>
      </c>
      <c r="D4" s="26">
        <v>130</v>
      </c>
      <c r="E4" s="26">
        <v>40</v>
      </c>
      <c r="F4" s="26" t="s">
        <v>17</v>
      </c>
      <c r="H4" t="str">
        <f t="shared" si="0"/>
        <v>Kitchen</v>
      </c>
    </row>
    <row r="5" spans="1:8">
      <c r="A5" s="27" t="s">
        <v>18</v>
      </c>
      <c r="B5" s="27" t="s">
        <v>19</v>
      </c>
      <c r="C5" s="27" t="s">
        <v>20</v>
      </c>
      <c r="D5" s="27">
        <v>900</v>
      </c>
      <c r="E5" s="27">
        <v>25</v>
      </c>
      <c r="F5" s="27" t="s">
        <v>9</v>
      </c>
      <c r="H5" t="str">
        <f t="shared" si="0"/>
        <v>Electronics</v>
      </c>
    </row>
    <row r="6" spans="1:8">
      <c r="A6" s="26" t="s">
        <v>21</v>
      </c>
      <c r="B6" s="26" t="s">
        <v>22</v>
      </c>
      <c r="C6" s="26" t="s">
        <v>23</v>
      </c>
      <c r="D6" s="26">
        <v>70</v>
      </c>
      <c r="E6" s="26">
        <v>20</v>
      </c>
      <c r="F6" s="26"/>
      <c r="H6" t="str">
        <f t="shared" si="0"/>
        <v>UNKNOWN</v>
      </c>
    </row>
    <row r="7" spans="1:8">
      <c r="A7" s="27" t="s">
        <v>25</v>
      </c>
      <c r="B7" s="27" t="s">
        <v>26</v>
      </c>
      <c r="C7" s="27" t="s">
        <v>27</v>
      </c>
      <c r="D7" s="27"/>
      <c r="E7" s="27">
        <v>45</v>
      </c>
      <c r="F7" s="27" t="s">
        <v>9</v>
      </c>
      <c r="H7" t="str">
        <f t="shared" si="0"/>
        <v>Electronics</v>
      </c>
    </row>
    <row r="8" spans="1:8">
      <c r="A8" s="26" t="s">
        <v>29</v>
      </c>
      <c r="B8" s="26" t="s">
        <v>30</v>
      </c>
      <c r="C8" s="26" t="s">
        <v>31</v>
      </c>
      <c r="D8" s="26">
        <v>30</v>
      </c>
      <c r="E8" s="26">
        <v>5</v>
      </c>
      <c r="F8" s="26" t="s">
        <v>13</v>
      </c>
      <c r="H8" t="str">
        <f t="shared" si="0"/>
        <v>Fashion</v>
      </c>
    </row>
    <row r="9" spans="1:8">
      <c r="A9" s="27" t="s">
        <v>32</v>
      </c>
      <c r="B9" s="27" t="s">
        <v>33</v>
      </c>
      <c r="C9" s="27" t="s">
        <v>34</v>
      </c>
      <c r="D9" s="27">
        <v>90</v>
      </c>
      <c r="E9" s="27">
        <v>35</v>
      </c>
      <c r="F9" s="27" t="s">
        <v>17</v>
      </c>
      <c r="H9" t="str">
        <f t="shared" si="0"/>
        <v>Kitchen</v>
      </c>
    </row>
    <row r="10" spans="1:8">
      <c r="A10" s="26" t="s">
        <v>35</v>
      </c>
      <c r="B10" s="26" t="s">
        <v>36</v>
      </c>
      <c r="C10" s="26" t="s">
        <v>37</v>
      </c>
      <c r="D10" s="26">
        <v>500</v>
      </c>
      <c r="E10" s="26">
        <v>50</v>
      </c>
      <c r="F10" s="26" t="s">
        <v>9</v>
      </c>
      <c r="H10" t="str">
        <f t="shared" si="0"/>
        <v>Electronics</v>
      </c>
    </row>
    <row r="11" spans="1:8">
      <c r="A11" s="27" t="s">
        <v>38</v>
      </c>
      <c r="B11" s="27" t="s">
        <v>39</v>
      </c>
      <c r="C11" s="27" t="s">
        <v>40</v>
      </c>
      <c r="D11" s="27">
        <v>130</v>
      </c>
      <c r="E11" s="27">
        <v>10</v>
      </c>
      <c r="F11" s="27" t="s">
        <v>41</v>
      </c>
      <c r="H11" t="str">
        <f t="shared" si="0"/>
        <v>Outdoor</v>
      </c>
    </row>
    <row r="12" spans="1:8">
      <c r="A12" s="26" t="s">
        <v>42</v>
      </c>
      <c r="B12" s="26" t="s">
        <v>43</v>
      </c>
      <c r="C12" s="26" t="s">
        <v>44</v>
      </c>
      <c r="D12" s="26">
        <v>950</v>
      </c>
      <c r="E12" s="26">
        <v>25</v>
      </c>
      <c r="F12" s="26" t="s">
        <v>9</v>
      </c>
      <c r="H12" t="str">
        <f t="shared" si="0"/>
        <v>Electronics</v>
      </c>
    </row>
    <row r="13" spans="1:8">
      <c r="A13" s="27" t="s">
        <v>45</v>
      </c>
      <c r="B13" s="27" t="s">
        <v>11</v>
      </c>
      <c r="C13" s="27" t="s">
        <v>31</v>
      </c>
      <c r="D13" s="27">
        <v>90</v>
      </c>
      <c r="E13" s="27">
        <v>40</v>
      </c>
      <c r="F13" s="27"/>
      <c r="H13" t="str">
        <f t="shared" si="0"/>
        <v>UNKNOWN</v>
      </c>
    </row>
    <row r="14" spans="1:8">
      <c r="A14" s="26" t="s">
        <v>46</v>
      </c>
      <c r="B14" s="26" t="s">
        <v>15</v>
      </c>
      <c r="C14" s="26" t="s">
        <v>47</v>
      </c>
      <c r="D14" s="26">
        <v>120</v>
      </c>
      <c r="E14" s="26">
        <v>35</v>
      </c>
      <c r="F14" s="26"/>
      <c r="H14" t="str">
        <f t="shared" si="0"/>
        <v>UNKNOWN</v>
      </c>
    </row>
    <row r="15" spans="1:8">
      <c r="A15" s="27" t="s">
        <v>48</v>
      </c>
      <c r="B15" s="27" t="s">
        <v>49</v>
      </c>
      <c r="C15" s="27" t="s">
        <v>50</v>
      </c>
      <c r="D15" s="27">
        <v>150</v>
      </c>
      <c r="E15" s="27">
        <v>15</v>
      </c>
      <c r="F15" s="27" t="s">
        <v>9</v>
      </c>
      <c r="H15" t="str">
        <f t="shared" si="0"/>
        <v>Electronics</v>
      </c>
    </row>
    <row r="16" spans="1:8">
      <c r="A16" s="26" t="s">
        <v>51</v>
      </c>
      <c r="B16" s="26" t="s">
        <v>52</v>
      </c>
      <c r="C16" s="26" t="s">
        <v>53</v>
      </c>
      <c r="D16" s="26">
        <v>250</v>
      </c>
      <c r="E16" s="26">
        <v>20</v>
      </c>
      <c r="F16" s="26" t="s">
        <v>9</v>
      </c>
      <c r="H16" t="str">
        <f t="shared" si="0"/>
        <v>Electronics</v>
      </c>
    </row>
    <row r="17" spans="1:8">
      <c r="A17" s="27" t="s">
        <v>54</v>
      </c>
      <c r="B17" s="27" t="s">
        <v>55</v>
      </c>
      <c r="C17" s="27" t="s">
        <v>56</v>
      </c>
      <c r="D17" s="27">
        <v>50</v>
      </c>
      <c r="E17" s="27">
        <v>35</v>
      </c>
      <c r="F17" s="27" t="s">
        <v>57</v>
      </c>
      <c r="H17" t="str">
        <f t="shared" si="0"/>
        <v>Accessories</v>
      </c>
    </row>
    <row r="18" spans="1:8">
      <c r="A18" s="26" t="s">
        <v>58</v>
      </c>
      <c r="B18" s="26" t="s">
        <v>49</v>
      </c>
      <c r="C18" s="26" t="s">
        <v>59</v>
      </c>
      <c r="D18" s="26">
        <v>160</v>
      </c>
      <c r="E18" s="26">
        <v>15</v>
      </c>
      <c r="F18" s="26" t="s">
        <v>28</v>
      </c>
      <c r="H18" t="str">
        <f t="shared" si="0"/>
        <v>Electroni</v>
      </c>
    </row>
    <row r="19" spans="1:8">
      <c r="A19" s="27" t="s">
        <v>60</v>
      </c>
      <c r="B19" s="27" t="s">
        <v>7</v>
      </c>
      <c r="C19" s="27" t="s">
        <v>61</v>
      </c>
      <c r="D19" s="27">
        <v>980</v>
      </c>
      <c r="E19" s="27">
        <v>10</v>
      </c>
      <c r="F19" s="27" t="s">
        <v>9</v>
      </c>
      <c r="H19" t="str">
        <f t="shared" si="0"/>
        <v>Electronics</v>
      </c>
    </row>
    <row r="20" spans="1:8">
      <c r="A20" s="26" t="s">
        <v>62</v>
      </c>
      <c r="B20" s="26" t="s">
        <v>63</v>
      </c>
      <c r="C20" s="26" t="s">
        <v>64</v>
      </c>
      <c r="D20" s="26">
        <v>150</v>
      </c>
      <c r="E20" s="26">
        <v>15</v>
      </c>
      <c r="F20" s="26" t="s">
        <v>13</v>
      </c>
      <c r="H20" t="str">
        <f t="shared" si="0"/>
        <v>Fashion</v>
      </c>
    </row>
    <row r="21" spans="1:8">
      <c r="A21" s="27" t="s">
        <v>65</v>
      </c>
      <c r="B21" s="27" t="s">
        <v>66</v>
      </c>
      <c r="C21" s="27" t="s">
        <v>67</v>
      </c>
      <c r="D21" s="27"/>
      <c r="E21" s="27">
        <v>10</v>
      </c>
      <c r="F21" s="27" t="s">
        <v>41</v>
      </c>
      <c r="H21" t="str">
        <f t="shared" si="0"/>
        <v>Outdoor</v>
      </c>
    </row>
    <row r="22" spans="1:8">
      <c r="A22" s="26" t="s">
        <v>68</v>
      </c>
      <c r="B22" s="26" t="s">
        <v>69</v>
      </c>
      <c r="C22" s="26" t="s">
        <v>70</v>
      </c>
      <c r="D22" s="26">
        <v>700</v>
      </c>
      <c r="E22" s="26">
        <v>50</v>
      </c>
      <c r="F22" s="26" t="s">
        <v>9</v>
      </c>
      <c r="H22" t="str">
        <f t="shared" si="0"/>
        <v>Electronics</v>
      </c>
    </row>
    <row r="23" spans="1:8">
      <c r="A23" s="27" t="s">
        <v>71</v>
      </c>
      <c r="B23" s="27" t="s">
        <v>72</v>
      </c>
      <c r="C23" s="27" t="s">
        <v>73</v>
      </c>
      <c r="D23" s="27">
        <v>80</v>
      </c>
      <c r="E23" s="27">
        <v>20</v>
      </c>
      <c r="F23" s="27" t="s">
        <v>17</v>
      </c>
      <c r="H23" t="str">
        <f t="shared" si="0"/>
        <v>Kitchen</v>
      </c>
    </row>
    <row r="24" spans="1:8">
      <c r="A24" s="26" t="s">
        <v>74</v>
      </c>
      <c r="B24" s="26" t="s">
        <v>75</v>
      </c>
      <c r="C24" s="26" t="s">
        <v>76</v>
      </c>
      <c r="D24" s="26">
        <v>150</v>
      </c>
      <c r="E24" s="26">
        <v>30</v>
      </c>
      <c r="F24" s="26"/>
      <c r="H24" t="str">
        <f t="shared" si="0"/>
        <v>UNKNOWN</v>
      </c>
    </row>
    <row r="25" spans="1:8">
      <c r="A25" s="26" t="s">
        <v>77</v>
      </c>
      <c r="B25" s="26" t="s">
        <v>78</v>
      </c>
      <c r="C25" s="26" t="s">
        <v>79</v>
      </c>
      <c r="D25" s="26">
        <v>800</v>
      </c>
      <c r="E25" s="26">
        <v>45</v>
      </c>
      <c r="F25" s="26" t="s">
        <v>9</v>
      </c>
      <c r="H25" t="str">
        <f t="shared" si="0"/>
        <v>Electronics</v>
      </c>
    </row>
    <row r="26" spans="1:8">
      <c r="A26" s="27" t="s">
        <v>80</v>
      </c>
      <c r="B26" s="27" t="s">
        <v>63</v>
      </c>
      <c r="C26" s="27" t="s">
        <v>81</v>
      </c>
      <c r="D26" s="27"/>
      <c r="E26" s="27">
        <v>25</v>
      </c>
      <c r="F26" s="27" t="s">
        <v>13</v>
      </c>
      <c r="H26" t="str">
        <f t="shared" si="0"/>
        <v>Fashion</v>
      </c>
    </row>
    <row r="27" spans="1:8">
      <c r="A27" s="26" t="s">
        <v>82</v>
      </c>
      <c r="B27" s="26" t="s">
        <v>33</v>
      </c>
      <c r="C27" s="26" t="s">
        <v>83</v>
      </c>
      <c r="D27" s="26">
        <v>400</v>
      </c>
      <c r="E27" s="26">
        <v>40</v>
      </c>
      <c r="F27" s="26" t="s">
        <v>17</v>
      </c>
      <c r="H27" t="str">
        <f t="shared" si="0"/>
        <v>Kitchen</v>
      </c>
    </row>
    <row r="28" spans="1:8">
      <c r="A28" s="26" t="s">
        <v>84</v>
      </c>
      <c r="B28" s="26" t="s">
        <v>85</v>
      </c>
      <c r="C28" s="26" t="s">
        <v>86</v>
      </c>
      <c r="D28" s="26">
        <v>60</v>
      </c>
      <c r="E28" s="26">
        <v>30</v>
      </c>
      <c r="F28" s="26" t="s">
        <v>13</v>
      </c>
      <c r="H28" t="str">
        <f t="shared" si="0"/>
        <v>Fashion</v>
      </c>
    </row>
    <row r="29" spans="1:8">
      <c r="A29" s="27" t="s">
        <v>87</v>
      </c>
      <c r="B29" s="27" t="s">
        <v>88</v>
      </c>
      <c r="C29" s="27" t="s">
        <v>89</v>
      </c>
      <c r="D29" s="27">
        <v>40</v>
      </c>
      <c r="E29" s="27">
        <v>10</v>
      </c>
      <c r="F29" s="27" t="s">
        <v>17</v>
      </c>
      <c r="H29" t="str">
        <f t="shared" si="0"/>
        <v>Kitchen</v>
      </c>
    </row>
    <row r="30" spans="1:8">
      <c r="A30" s="26" t="s">
        <v>90</v>
      </c>
      <c r="B30" s="26" t="s">
        <v>75</v>
      </c>
      <c r="C30" s="26" t="s">
        <v>91</v>
      </c>
      <c r="D30" s="26">
        <v>130</v>
      </c>
      <c r="E30" s="26">
        <v>5</v>
      </c>
      <c r="F30" s="26" t="s">
        <v>9</v>
      </c>
      <c r="H30" t="str">
        <f t="shared" si="0"/>
        <v>Electronics</v>
      </c>
    </row>
    <row r="31" spans="1:8">
      <c r="A31" s="27" t="s">
        <v>92</v>
      </c>
      <c r="B31" s="27" t="s">
        <v>93</v>
      </c>
      <c r="C31" s="27" t="s">
        <v>94</v>
      </c>
      <c r="D31" s="27">
        <v>50</v>
      </c>
      <c r="E31" s="27">
        <v>50</v>
      </c>
      <c r="F31" s="27" t="s">
        <v>13</v>
      </c>
      <c r="H31" t="str">
        <f t="shared" si="0"/>
        <v>Fashion</v>
      </c>
    </row>
    <row r="32" spans="1:8">
      <c r="A32" s="27" t="s">
        <v>95</v>
      </c>
      <c r="B32" s="27" t="s">
        <v>96</v>
      </c>
      <c r="C32" s="27" t="s">
        <v>97</v>
      </c>
      <c r="D32" s="27">
        <v>100</v>
      </c>
      <c r="E32" s="27">
        <v>20</v>
      </c>
      <c r="F32" s="27" t="s">
        <v>57</v>
      </c>
      <c r="H32" t="str">
        <f t="shared" si="0"/>
        <v>Accessories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selection activeCell="G19" sqref="G19"/>
    </sheetView>
  </sheetViews>
  <sheetFormatPr defaultColWidth="9" defaultRowHeight="15" outlineLevelCol="7"/>
  <cols>
    <col min="1" max="1" width="9.85714285714286" customWidth="1"/>
    <col min="4" max="4" width="11.1428571428571" customWidth="1"/>
    <col min="5" max="5" width="19" customWidth="1"/>
  </cols>
  <sheetData>
    <row r="1" spans="1:5">
      <c r="A1" s="20" t="s">
        <v>102</v>
      </c>
      <c r="D1" s="21" t="s">
        <v>0</v>
      </c>
      <c r="E1" s="20" t="s">
        <v>103</v>
      </c>
    </row>
    <row r="2" spans="1:5">
      <c r="A2" s="22">
        <v>1000</v>
      </c>
      <c r="D2" s="23" t="s">
        <v>6</v>
      </c>
      <c r="E2" s="3" t="str">
        <f>TEXT(--(LEFT(D2,6)&amp;"-2026"),"dd-mm-yyyy")</f>
        <v>28-01-2026</v>
      </c>
    </row>
    <row r="3" spans="1:5">
      <c r="A3" s="22">
        <v>80</v>
      </c>
      <c r="D3" s="24" t="s">
        <v>10</v>
      </c>
      <c r="E3" s="3" t="str">
        <f t="shared" ref="E3:E32" si="0">TEXT(--(LEFT(D3,6)&amp;"-2026"),"dd-mm-yyyy")</f>
        <v>15-02-2026</v>
      </c>
    </row>
    <row r="4" spans="1:5">
      <c r="A4" s="22">
        <v>130</v>
      </c>
      <c r="D4" s="23" t="s">
        <v>14</v>
      </c>
      <c r="E4" s="3" t="str">
        <f t="shared" si="0"/>
        <v>03-03-2026</v>
      </c>
    </row>
    <row r="5" spans="1:5">
      <c r="A5" s="22">
        <v>900</v>
      </c>
      <c r="D5" s="24" t="s">
        <v>18</v>
      </c>
      <c r="E5" s="3" t="str">
        <f t="shared" si="0"/>
        <v>11-04-2026</v>
      </c>
    </row>
    <row r="6" spans="1:5">
      <c r="A6" s="22">
        <v>70</v>
      </c>
      <c r="D6" s="23" t="s">
        <v>21</v>
      </c>
      <c r="E6" s="3" t="str">
        <f t="shared" si="0"/>
        <v>22-05-2026</v>
      </c>
    </row>
    <row r="7" spans="1:5">
      <c r="A7" s="22">
        <v>250</v>
      </c>
      <c r="D7" s="24" t="s">
        <v>25</v>
      </c>
      <c r="E7" s="3" t="str">
        <f t="shared" si="0"/>
        <v>07-06-2026</v>
      </c>
    </row>
    <row r="8" spans="1:5">
      <c r="A8" s="22">
        <v>30</v>
      </c>
      <c r="D8" s="23" t="s">
        <v>29</v>
      </c>
      <c r="E8" s="3" t="str">
        <f t="shared" si="0"/>
        <v>19-07-2026</v>
      </c>
    </row>
    <row r="9" spans="1:5">
      <c r="A9" s="22">
        <v>90</v>
      </c>
      <c r="D9" s="24" t="s">
        <v>32</v>
      </c>
      <c r="E9" s="3" t="str">
        <f t="shared" si="0"/>
        <v>23-08-2026</v>
      </c>
    </row>
    <row r="10" spans="1:5">
      <c r="A10" s="22">
        <v>500</v>
      </c>
      <c r="D10" s="23" t="s">
        <v>35</v>
      </c>
      <c r="E10" s="3" t="str">
        <f t="shared" si="0"/>
        <v>05-09-2026</v>
      </c>
    </row>
    <row r="11" spans="1:5">
      <c r="A11" s="22">
        <v>130</v>
      </c>
      <c r="D11" s="24" t="s">
        <v>38</v>
      </c>
      <c r="E11" s="3" t="str">
        <f t="shared" si="0"/>
        <v>14-10-2026</v>
      </c>
    </row>
    <row r="12" spans="1:5">
      <c r="A12" s="22">
        <v>950</v>
      </c>
      <c r="D12" s="23" t="s">
        <v>42</v>
      </c>
      <c r="E12" s="3" t="str">
        <f t="shared" si="0"/>
        <v>17-06-2026</v>
      </c>
    </row>
    <row r="13" spans="1:5">
      <c r="A13" s="22">
        <v>90</v>
      </c>
      <c r="D13" s="24" t="s">
        <v>45</v>
      </c>
      <c r="E13" s="3" t="str">
        <f t="shared" si="0"/>
        <v>25-11-2026</v>
      </c>
    </row>
    <row r="14" spans="1:8">
      <c r="A14" s="22">
        <v>120</v>
      </c>
      <c r="D14" s="23" t="s">
        <v>46</v>
      </c>
      <c r="E14" s="3" t="str">
        <f t="shared" si="0"/>
        <v>08-12-2026</v>
      </c>
      <c r="H14" s="25"/>
    </row>
    <row r="15" spans="1:5">
      <c r="A15" s="22">
        <v>150</v>
      </c>
      <c r="D15" s="24" t="s">
        <v>48</v>
      </c>
      <c r="E15" s="3" t="str">
        <f t="shared" si="0"/>
        <v>18-02-2026</v>
      </c>
    </row>
    <row r="16" spans="1:5">
      <c r="A16" s="22">
        <v>250</v>
      </c>
      <c r="D16" s="23" t="s">
        <v>51</v>
      </c>
      <c r="E16" s="3" t="str">
        <f t="shared" si="0"/>
        <v>16-04-2026</v>
      </c>
    </row>
    <row r="17" spans="1:5">
      <c r="A17" s="22">
        <v>50</v>
      </c>
      <c r="D17" s="24" t="s">
        <v>54</v>
      </c>
      <c r="E17" s="3" t="str">
        <f t="shared" si="0"/>
        <v>21-08-2026</v>
      </c>
    </row>
    <row r="18" spans="1:5">
      <c r="A18" s="22">
        <v>160</v>
      </c>
      <c r="D18" s="23" t="s">
        <v>58</v>
      </c>
      <c r="E18" s="3" t="str">
        <f t="shared" si="0"/>
        <v>20-08-2026</v>
      </c>
    </row>
    <row r="19" spans="1:5">
      <c r="A19" s="22">
        <v>980</v>
      </c>
      <c r="D19" s="24" t="s">
        <v>60</v>
      </c>
      <c r="E19" s="3" t="str">
        <f t="shared" si="0"/>
        <v>27-01-2026</v>
      </c>
    </row>
    <row r="20" spans="1:5">
      <c r="A20" s="22">
        <v>150</v>
      </c>
      <c r="D20" s="23" t="s">
        <v>62</v>
      </c>
      <c r="E20" s="3" t="str">
        <f t="shared" si="0"/>
        <v>01-03-2026</v>
      </c>
    </row>
    <row r="21" spans="1:5">
      <c r="A21" s="22">
        <v>1000</v>
      </c>
      <c r="D21" s="24" t="s">
        <v>65</v>
      </c>
      <c r="E21" s="3" t="str">
        <f t="shared" si="0"/>
        <v>14-08-2026</v>
      </c>
    </row>
    <row r="22" spans="1:5">
      <c r="A22" s="22">
        <v>700</v>
      </c>
      <c r="D22" s="23" t="s">
        <v>68</v>
      </c>
      <c r="E22" s="3" t="str">
        <f t="shared" si="0"/>
        <v>14-05-2026</v>
      </c>
    </row>
    <row r="23" spans="1:5">
      <c r="A23" s="22">
        <v>80</v>
      </c>
      <c r="D23" s="24" t="s">
        <v>71</v>
      </c>
      <c r="E23" s="3" t="str">
        <f t="shared" si="0"/>
        <v>09-01-2026</v>
      </c>
    </row>
    <row r="24" spans="1:5">
      <c r="A24" s="22">
        <v>150</v>
      </c>
      <c r="D24" s="23" t="s">
        <v>74</v>
      </c>
      <c r="E24" s="3" t="str">
        <f t="shared" si="0"/>
        <v>19-07-2026</v>
      </c>
    </row>
    <row r="25" spans="1:5">
      <c r="A25" s="22">
        <v>800</v>
      </c>
      <c r="D25" s="23" t="s">
        <v>77</v>
      </c>
      <c r="E25" s="3" t="str">
        <f t="shared" si="0"/>
        <v>29-09-2026</v>
      </c>
    </row>
    <row r="26" spans="1:5">
      <c r="A26" s="22">
        <v>150</v>
      </c>
      <c r="D26" s="24" t="s">
        <v>80</v>
      </c>
      <c r="E26" s="3" t="str">
        <f t="shared" si="0"/>
        <v>03-06-2026</v>
      </c>
    </row>
    <row r="27" spans="1:5">
      <c r="A27" s="22">
        <v>400</v>
      </c>
      <c r="D27" s="23" t="s">
        <v>82</v>
      </c>
      <c r="E27" s="3" t="str">
        <f t="shared" si="0"/>
        <v>11-07-2026</v>
      </c>
    </row>
    <row r="28" spans="1:5">
      <c r="A28" s="22">
        <v>60</v>
      </c>
      <c r="D28" s="23" t="s">
        <v>84</v>
      </c>
      <c r="E28" s="3" t="str">
        <f t="shared" si="0"/>
        <v>07-03-2026</v>
      </c>
    </row>
    <row r="29" spans="1:5">
      <c r="A29" s="22">
        <v>40</v>
      </c>
      <c r="D29" s="24" t="s">
        <v>87</v>
      </c>
      <c r="E29" s="3" t="str">
        <f t="shared" si="0"/>
        <v>13-04-2026</v>
      </c>
    </row>
    <row r="30" spans="1:5">
      <c r="A30" s="22">
        <v>130</v>
      </c>
      <c r="D30" s="23" t="s">
        <v>90</v>
      </c>
      <c r="E30" s="3" t="str">
        <f t="shared" si="0"/>
        <v>24-05-2026</v>
      </c>
    </row>
    <row r="31" spans="1:5">
      <c r="A31" s="22">
        <v>50</v>
      </c>
      <c r="D31" s="24" t="s">
        <v>92</v>
      </c>
      <c r="E31" s="3" t="str">
        <f t="shared" si="0"/>
        <v>02-12-2026</v>
      </c>
    </row>
    <row r="32" spans="1:5">
      <c r="A32" s="22">
        <v>100</v>
      </c>
      <c r="D32" s="24" t="s">
        <v>95</v>
      </c>
      <c r="E32" s="3" t="str">
        <f t="shared" si="0"/>
        <v>09-07-2026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I2" sqref="I2"/>
    </sheetView>
  </sheetViews>
  <sheetFormatPr defaultColWidth="9" defaultRowHeight="15"/>
  <cols>
    <col min="2" max="2" width="12.1428571428571" customWidth="1"/>
    <col min="8" max="8" width="13.8571428571429" customWidth="1"/>
  </cols>
  <sheetData>
    <row r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15" t="s">
        <v>1</v>
      </c>
      <c r="I1" s="15" t="s">
        <v>5</v>
      </c>
    </row>
    <row r="2" spans="1:9">
      <c r="A2" s="8" t="s">
        <v>6</v>
      </c>
      <c r="B2" s="8" t="s">
        <v>7</v>
      </c>
      <c r="C2" s="8" t="s">
        <v>8</v>
      </c>
      <c r="D2" s="8">
        <v>1000</v>
      </c>
      <c r="E2" s="8">
        <v>30</v>
      </c>
      <c r="F2" s="8" t="s">
        <v>9</v>
      </c>
      <c r="H2" s="16" t="str" cm="1">
        <f t="array" ref="H2:H32">PROPER(B2:B32)</f>
        <v>Laptop</v>
      </c>
      <c r="I2" s="8" t="s">
        <v>9</v>
      </c>
    </row>
    <row r="3" spans="1:9">
      <c r="A3" s="10" t="s">
        <v>10</v>
      </c>
      <c r="B3" s="11" t="s">
        <v>11</v>
      </c>
      <c r="C3" s="11" t="s">
        <v>12</v>
      </c>
      <c r="D3" s="11">
        <v>80</v>
      </c>
      <c r="E3" s="11">
        <v>15</v>
      </c>
      <c r="F3" s="11" t="s">
        <v>13</v>
      </c>
      <c r="H3" s="16" t="str">
        <v>Sneakers</v>
      </c>
      <c r="I3" s="11" t="s">
        <v>13</v>
      </c>
    </row>
    <row r="4" spans="1:9">
      <c r="A4" s="8" t="s">
        <v>14</v>
      </c>
      <c r="B4" s="8" t="s">
        <v>15</v>
      </c>
      <c r="C4" s="8" t="s">
        <v>16</v>
      </c>
      <c r="D4" s="8">
        <v>130</v>
      </c>
      <c r="E4" s="8">
        <v>40</v>
      </c>
      <c r="F4" s="8" t="s">
        <v>17</v>
      </c>
      <c r="H4" s="16" t="str">
        <v>Coffee Maker</v>
      </c>
      <c r="I4" s="8" t="s">
        <v>17</v>
      </c>
    </row>
    <row r="5" spans="1:9">
      <c r="A5" s="10" t="s">
        <v>18</v>
      </c>
      <c r="B5" s="11" t="s">
        <v>19</v>
      </c>
      <c r="C5" s="11" t="s">
        <v>20</v>
      </c>
      <c r="D5" s="11">
        <v>900</v>
      </c>
      <c r="E5" s="11">
        <v>25</v>
      </c>
      <c r="F5" s="11" t="s">
        <v>9</v>
      </c>
      <c r="H5" s="16" t="str">
        <v>Smartphone</v>
      </c>
      <c r="I5" s="11" t="s">
        <v>9</v>
      </c>
    </row>
    <row r="6" ht="24" spans="1:9">
      <c r="A6" s="8" t="s">
        <v>21</v>
      </c>
      <c r="B6" s="8" t="s">
        <v>22</v>
      </c>
      <c r="C6" s="8" t="s">
        <v>23</v>
      </c>
      <c r="D6" s="8">
        <v>70</v>
      </c>
      <c r="E6" s="8">
        <v>20</v>
      </c>
      <c r="F6" s="17" t="s">
        <v>24</v>
      </c>
      <c r="H6" s="16" t="str">
        <v>Backpack</v>
      </c>
      <c r="I6" s="17" t="s">
        <v>24</v>
      </c>
    </row>
    <row r="7" ht="24" spans="1:9">
      <c r="A7" s="10" t="s">
        <v>25</v>
      </c>
      <c r="B7" s="11" t="s">
        <v>26</v>
      </c>
      <c r="C7" s="11" t="s">
        <v>27</v>
      </c>
      <c r="D7" s="18" t="s">
        <v>24</v>
      </c>
      <c r="E7" s="11">
        <v>45</v>
      </c>
      <c r="F7" s="11" t="s">
        <v>9</v>
      </c>
      <c r="H7" s="16" t="str">
        <v>Headphones</v>
      </c>
      <c r="I7" s="11" t="s">
        <v>9</v>
      </c>
    </row>
    <row r="8" spans="1:9">
      <c r="A8" s="8" t="s">
        <v>29</v>
      </c>
      <c r="B8" s="8" t="s">
        <v>30</v>
      </c>
      <c r="C8" s="8" t="s">
        <v>31</v>
      </c>
      <c r="D8" s="8">
        <v>30</v>
      </c>
      <c r="E8" s="8">
        <v>5</v>
      </c>
      <c r="F8" s="8" t="s">
        <v>13</v>
      </c>
      <c r="H8" s="16" t="str">
        <v>T-Shirt</v>
      </c>
      <c r="I8" s="8" t="s">
        <v>13</v>
      </c>
    </row>
    <row r="9" spans="1:9">
      <c r="A9" s="10" t="s">
        <v>32</v>
      </c>
      <c r="B9" s="11" t="s">
        <v>33</v>
      </c>
      <c r="C9" s="11" t="s">
        <v>34</v>
      </c>
      <c r="D9" s="11">
        <v>90</v>
      </c>
      <c r="E9" s="11">
        <v>35</v>
      </c>
      <c r="F9" s="11" t="s">
        <v>17</v>
      </c>
      <c r="H9" s="16" t="str">
        <v>Blender</v>
      </c>
      <c r="I9" s="11" t="s">
        <v>17</v>
      </c>
    </row>
    <row r="10" spans="1:9">
      <c r="A10" s="8" t="s">
        <v>35</v>
      </c>
      <c r="B10" s="8" t="s">
        <v>36</v>
      </c>
      <c r="C10" s="8" t="s">
        <v>37</v>
      </c>
      <c r="D10" s="8">
        <v>500</v>
      </c>
      <c r="E10" s="8">
        <v>50</v>
      </c>
      <c r="F10" s="8" t="s">
        <v>9</v>
      </c>
      <c r="H10" s="16" t="str">
        <v>Tablet</v>
      </c>
      <c r="I10" s="8" t="s">
        <v>9</v>
      </c>
    </row>
    <row r="11" spans="1:9">
      <c r="A11" s="10" t="s">
        <v>38</v>
      </c>
      <c r="B11" s="11" t="s">
        <v>39</v>
      </c>
      <c r="C11" s="11" t="s">
        <v>40</v>
      </c>
      <c r="D11" s="11">
        <v>130</v>
      </c>
      <c r="E11" s="11">
        <v>10</v>
      </c>
      <c r="F11" s="11" t="s">
        <v>41</v>
      </c>
      <c r="H11" s="16" t="str">
        <v>Hiking Boots</v>
      </c>
      <c r="I11" s="11" t="s">
        <v>41</v>
      </c>
    </row>
    <row r="12" spans="1:9">
      <c r="A12" s="8" t="s">
        <v>42</v>
      </c>
      <c r="B12" s="8" t="s">
        <v>43</v>
      </c>
      <c r="C12" s="8" t="s">
        <v>44</v>
      </c>
      <c r="D12" s="8">
        <v>950</v>
      </c>
      <c r="E12" s="8">
        <v>25</v>
      </c>
      <c r="F12" s="8" t="s">
        <v>9</v>
      </c>
      <c r="H12" s="16" t="str">
        <v>Laptop</v>
      </c>
      <c r="I12" s="8" t="s">
        <v>9</v>
      </c>
    </row>
    <row r="13" ht="24" spans="1:9">
      <c r="A13" s="10" t="s">
        <v>45</v>
      </c>
      <c r="B13" s="11" t="s">
        <v>11</v>
      </c>
      <c r="C13" s="11" t="s">
        <v>31</v>
      </c>
      <c r="D13" s="11">
        <v>90</v>
      </c>
      <c r="E13" s="11">
        <v>40</v>
      </c>
      <c r="F13" s="18" t="s">
        <v>24</v>
      </c>
      <c r="H13" s="16" t="str">
        <v>Sneakers</v>
      </c>
      <c r="I13" s="18" t="s">
        <v>24</v>
      </c>
    </row>
    <row r="14" ht="24" spans="1:9">
      <c r="A14" s="8" t="s">
        <v>46</v>
      </c>
      <c r="B14" s="8" t="s">
        <v>15</v>
      </c>
      <c r="C14" s="8" t="s">
        <v>47</v>
      </c>
      <c r="D14" s="8">
        <v>120</v>
      </c>
      <c r="E14" s="8">
        <v>35</v>
      </c>
      <c r="F14" s="17" t="s">
        <v>24</v>
      </c>
      <c r="H14" s="16" t="str">
        <v>Coffee Maker</v>
      </c>
      <c r="I14" s="17" t="s">
        <v>24</v>
      </c>
    </row>
    <row r="15" spans="1:9">
      <c r="A15" s="10" t="s">
        <v>48</v>
      </c>
      <c r="B15" s="11" t="s">
        <v>49</v>
      </c>
      <c r="C15" s="11" t="s">
        <v>50</v>
      </c>
      <c r="D15" s="11">
        <v>150</v>
      </c>
      <c r="E15" s="11">
        <v>15</v>
      </c>
      <c r="F15" s="11" t="s">
        <v>9</v>
      </c>
      <c r="H15" s="16" t="str">
        <v>Smartwatch</v>
      </c>
      <c r="I15" s="11" t="s">
        <v>9</v>
      </c>
    </row>
    <row r="16" spans="1:9">
      <c r="A16" s="8" t="s">
        <v>51</v>
      </c>
      <c r="B16" s="8" t="s">
        <v>52</v>
      </c>
      <c r="C16" s="8" t="s">
        <v>53</v>
      </c>
      <c r="D16" s="8">
        <v>250</v>
      </c>
      <c r="E16" s="8">
        <v>20</v>
      </c>
      <c r="F16" s="8" t="s">
        <v>9</v>
      </c>
      <c r="H16" s="16" t="str">
        <v>Headphones</v>
      </c>
      <c r="I16" s="8" t="s">
        <v>9</v>
      </c>
    </row>
    <row r="17" spans="1:9">
      <c r="A17" s="10" t="s">
        <v>54</v>
      </c>
      <c r="B17" s="11" t="s">
        <v>55</v>
      </c>
      <c r="C17" s="11" t="s">
        <v>56</v>
      </c>
      <c r="D17" s="11">
        <v>50</v>
      </c>
      <c r="E17" s="11">
        <v>35</v>
      </c>
      <c r="F17" s="11" t="s">
        <v>57</v>
      </c>
      <c r="H17" s="16" t="str">
        <v>Laptop Bag</v>
      </c>
      <c r="I17" s="11" t="s">
        <v>57</v>
      </c>
    </row>
    <row r="18" spans="1:9">
      <c r="A18" s="8" t="s">
        <v>58</v>
      </c>
      <c r="B18" s="8" t="s">
        <v>49</v>
      </c>
      <c r="C18" s="8" t="s">
        <v>59</v>
      </c>
      <c r="D18" s="8">
        <v>160</v>
      </c>
      <c r="E18" s="8">
        <v>15</v>
      </c>
      <c r="F18" s="8" t="s">
        <v>9</v>
      </c>
      <c r="H18" s="16" t="str">
        <v>Smartwatch</v>
      </c>
      <c r="I18" s="8" t="s">
        <v>9</v>
      </c>
    </row>
    <row r="19" spans="1:9">
      <c r="A19" s="10" t="s">
        <v>60</v>
      </c>
      <c r="B19" s="11" t="s">
        <v>7</v>
      </c>
      <c r="C19" s="11" t="s">
        <v>61</v>
      </c>
      <c r="D19" s="11">
        <v>980</v>
      </c>
      <c r="E19" s="11">
        <v>10</v>
      </c>
      <c r="F19" s="11" t="s">
        <v>9</v>
      </c>
      <c r="H19" s="16" t="str">
        <v>Laptop</v>
      </c>
      <c r="I19" s="11" t="s">
        <v>9</v>
      </c>
    </row>
    <row r="20" spans="1:9">
      <c r="A20" s="8" t="s">
        <v>62</v>
      </c>
      <c r="B20" s="8" t="s">
        <v>63</v>
      </c>
      <c r="C20" s="8" t="s">
        <v>64</v>
      </c>
      <c r="D20" s="8">
        <v>150</v>
      </c>
      <c r="E20" s="8">
        <v>15</v>
      </c>
      <c r="F20" s="8" t="s">
        <v>13</v>
      </c>
      <c r="H20" s="16" t="str">
        <v>Sunglasses</v>
      </c>
      <c r="I20" s="8" t="s">
        <v>13</v>
      </c>
    </row>
    <row r="21" ht="24" spans="1:9">
      <c r="A21" s="10" t="s">
        <v>65</v>
      </c>
      <c r="B21" s="11" t="s">
        <v>66</v>
      </c>
      <c r="C21" s="11" t="s">
        <v>67</v>
      </c>
      <c r="D21" s="18" t="s">
        <v>24</v>
      </c>
      <c r="E21" s="11">
        <v>10</v>
      </c>
      <c r="F21" s="11" t="s">
        <v>41</v>
      </c>
      <c r="H21" s="16" t="str">
        <v>Camping Tent</v>
      </c>
      <c r="I21" s="11" t="s">
        <v>41</v>
      </c>
    </row>
    <row r="22" spans="1:9">
      <c r="A22" s="8" t="s">
        <v>68</v>
      </c>
      <c r="B22" s="8" t="s">
        <v>69</v>
      </c>
      <c r="C22" s="8" t="s">
        <v>70</v>
      </c>
      <c r="D22" s="8">
        <v>700</v>
      </c>
      <c r="E22" s="8">
        <v>50</v>
      </c>
      <c r="F22" s="8" t="s">
        <v>9</v>
      </c>
      <c r="H22" s="16" t="str">
        <v>Camera</v>
      </c>
      <c r="I22" s="8" t="s">
        <v>9</v>
      </c>
    </row>
    <row r="23" spans="1:9">
      <c r="A23" s="10" t="s">
        <v>71</v>
      </c>
      <c r="B23" s="11" t="s">
        <v>72</v>
      </c>
      <c r="C23" s="11" t="s">
        <v>73</v>
      </c>
      <c r="D23" s="11">
        <v>80</v>
      </c>
      <c r="E23" s="11">
        <v>20</v>
      </c>
      <c r="F23" s="11" t="s">
        <v>17</v>
      </c>
      <c r="H23" s="16" t="str">
        <v>Microwave</v>
      </c>
      <c r="I23" s="11" t="s">
        <v>17</v>
      </c>
    </row>
    <row r="24" ht="24" spans="1:9">
      <c r="A24" s="8" t="s">
        <v>74</v>
      </c>
      <c r="B24" s="8" t="s">
        <v>75</v>
      </c>
      <c r="C24" s="8" t="s">
        <v>76</v>
      </c>
      <c r="D24" s="8">
        <v>150</v>
      </c>
      <c r="E24" s="8">
        <v>30</v>
      </c>
      <c r="F24" s="17" t="s">
        <v>24</v>
      </c>
      <c r="H24" s="16" t="str">
        <v>Fitness Tracker</v>
      </c>
      <c r="I24" s="17" t="s">
        <v>24</v>
      </c>
    </row>
    <row r="25" spans="1:9">
      <c r="A25" s="12" t="s">
        <v>77</v>
      </c>
      <c r="B25" s="13" t="s">
        <v>78</v>
      </c>
      <c r="C25" s="13" t="s">
        <v>79</v>
      </c>
      <c r="D25" s="13">
        <v>800</v>
      </c>
      <c r="E25" s="13">
        <v>45</v>
      </c>
      <c r="F25" s="13" t="s">
        <v>9</v>
      </c>
      <c r="H25" s="16" t="str">
        <v>Smartphone</v>
      </c>
      <c r="I25" s="13" t="s">
        <v>9</v>
      </c>
    </row>
    <row r="26" ht="24" spans="1:9">
      <c r="A26" s="14" t="s">
        <v>80</v>
      </c>
      <c r="B26" s="14" t="s">
        <v>63</v>
      </c>
      <c r="C26" s="14" t="s">
        <v>81</v>
      </c>
      <c r="D26" s="19" t="s">
        <v>24</v>
      </c>
      <c r="E26" s="14">
        <v>25</v>
      </c>
      <c r="F26" s="14" t="s">
        <v>13</v>
      </c>
      <c r="H26" s="16" t="str">
        <v>Sunglasses</v>
      </c>
      <c r="I26" s="14" t="s">
        <v>13</v>
      </c>
    </row>
    <row r="27" spans="1:9">
      <c r="A27" s="12" t="s">
        <v>82</v>
      </c>
      <c r="B27" s="13" t="s">
        <v>33</v>
      </c>
      <c r="C27" s="13" t="s">
        <v>83</v>
      </c>
      <c r="D27" s="13">
        <v>400</v>
      </c>
      <c r="E27" s="13">
        <v>40</v>
      </c>
      <c r="F27" s="13" t="s">
        <v>17</v>
      </c>
      <c r="H27" s="16" t="str">
        <v>Blender</v>
      </c>
      <c r="I27" s="13" t="s">
        <v>17</v>
      </c>
    </row>
    <row r="28" spans="1:9">
      <c r="A28" s="8" t="s">
        <v>84</v>
      </c>
      <c r="B28" s="8" t="s">
        <v>85</v>
      </c>
      <c r="C28" s="8" t="s">
        <v>86</v>
      </c>
      <c r="D28" s="8">
        <v>60</v>
      </c>
      <c r="E28" s="8">
        <v>30</v>
      </c>
      <c r="F28" s="8" t="s">
        <v>13</v>
      </c>
      <c r="H28" s="16" t="str">
        <v>Dress</v>
      </c>
      <c r="I28" s="8" t="s">
        <v>13</v>
      </c>
    </row>
    <row r="29" spans="1:9">
      <c r="A29" s="10" t="s">
        <v>87</v>
      </c>
      <c r="B29" s="11" t="s">
        <v>88</v>
      </c>
      <c r="C29" s="11" t="s">
        <v>89</v>
      </c>
      <c r="D29" s="11">
        <v>40</v>
      </c>
      <c r="E29" s="11">
        <v>10</v>
      </c>
      <c r="F29" s="11" t="s">
        <v>17</v>
      </c>
      <c r="H29" s="16" t="str">
        <v>Toaster</v>
      </c>
      <c r="I29" s="11" t="s">
        <v>17</v>
      </c>
    </row>
    <row r="30" spans="1:9">
      <c r="A30" s="8" t="s">
        <v>90</v>
      </c>
      <c r="B30" s="8" t="s">
        <v>75</v>
      </c>
      <c r="C30" s="8" t="s">
        <v>91</v>
      </c>
      <c r="D30" s="8">
        <v>130</v>
      </c>
      <c r="E30" s="8">
        <v>5</v>
      </c>
      <c r="F30" s="8" t="s">
        <v>9</v>
      </c>
      <c r="H30" s="16" t="str">
        <v>Fitness Tracker</v>
      </c>
      <c r="I30" s="8" t="s">
        <v>9</v>
      </c>
    </row>
    <row r="31" spans="1:9">
      <c r="A31" s="10" t="s">
        <v>92</v>
      </c>
      <c r="B31" s="11" t="s">
        <v>93</v>
      </c>
      <c r="C31" s="11" t="s">
        <v>94</v>
      </c>
      <c r="D31" s="11">
        <v>50</v>
      </c>
      <c r="E31" s="11">
        <v>50</v>
      </c>
      <c r="F31" s="11" t="s">
        <v>13</v>
      </c>
      <c r="H31" s="16" t="str">
        <v>Jeans</v>
      </c>
      <c r="I31" s="11" t="s">
        <v>13</v>
      </c>
    </row>
    <row r="32" spans="1:9">
      <c r="A32" s="14" t="s">
        <v>95</v>
      </c>
      <c r="B32" s="14" t="s">
        <v>96</v>
      </c>
      <c r="C32" s="14" t="s">
        <v>97</v>
      </c>
      <c r="D32" s="14">
        <v>100</v>
      </c>
      <c r="E32" s="14">
        <v>20</v>
      </c>
      <c r="F32" s="14" t="s">
        <v>57</v>
      </c>
      <c r="H32" s="16" t="str">
        <v>Watch</v>
      </c>
      <c r="I32" s="14" t="s">
        <v>57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M7" sqref="M7"/>
    </sheetView>
  </sheetViews>
  <sheetFormatPr defaultColWidth="9" defaultRowHeight="15"/>
  <cols>
    <col min="2" max="2" width="10.4285714285714" customWidth="1"/>
    <col min="3" max="3" width="12.1428571428571" customWidth="1"/>
    <col min="5" max="5" width="23" customWidth="1"/>
    <col min="8" max="8" width="15.2857142857143" customWidth="1"/>
    <col min="10" max="10" width="13" customWidth="1"/>
  </cols>
  <sheetData>
    <row r="1" spans="1:10">
      <c r="A1" s="4" t="s">
        <v>0</v>
      </c>
      <c r="B1" s="5" t="s">
        <v>2</v>
      </c>
      <c r="C1" s="5" t="s">
        <v>1</v>
      </c>
      <c r="E1" s="6" t="s">
        <v>104</v>
      </c>
      <c r="H1" s="7" t="s">
        <v>105</v>
      </c>
      <c r="J1" s="7" t="s">
        <v>106</v>
      </c>
    </row>
    <row r="2" spans="1:10">
      <c r="A2" s="8" t="s">
        <v>6</v>
      </c>
      <c r="B2" s="8" t="s">
        <v>8</v>
      </c>
      <c r="C2" s="8" t="s">
        <v>43</v>
      </c>
      <c r="E2" s="9" t="str">
        <f>CONCATENATE(B2," ",C2)</f>
        <v>Dell Laptop</v>
      </c>
      <c r="H2" s="8">
        <v>28</v>
      </c>
      <c r="J2" s="8" t="s">
        <v>107</v>
      </c>
    </row>
    <row r="3" spans="1:10">
      <c r="A3" s="10" t="s">
        <v>10</v>
      </c>
      <c r="B3" s="11" t="s">
        <v>12</v>
      </c>
      <c r="C3" s="11" t="s">
        <v>11</v>
      </c>
      <c r="E3" s="9" t="str">
        <f t="shared" ref="E3:E31" si="0">CONCATENATE(B3," ",C3)</f>
        <v>Nike Sneakers</v>
      </c>
      <c r="H3" s="10">
        <v>15</v>
      </c>
      <c r="J3" s="10" t="s">
        <v>107</v>
      </c>
    </row>
    <row r="4" spans="1:10">
      <c r="A4" s="8" t="s">
        <v>14</v>
      </c>
      <c r="B4" s="8" t="s">
        <v>16</v>
      </c>
      <c r="C4" s="8" t="s">
        <v>15</v>
      </c>
      <c r="E4" s="9" t="str">
        <f t="shared" si="0"/>
        <v>Keurig Coffee Maker</v>
      </c>
      <c r="H4" s="8">
        <v>3</v>
      </c>
      <c r="J4" s="8" t="s">
        <v>107</v>
      </c>
    </row>
    <row r="5" spans="1:10">
      <c r="A5" s="10" t="s">
        <v>18</v>
      </c>
      <c r="B5" s="11" t="s">
        <v>20</v>
      </c>
      <c r="C5" s="11" t="s">
        <v>78</v>
      </c>
      <c r="E5" s="9" t="str">
        <f t="shared" si="0"/>
        <v>Samsung Smartphone</v>
      </c>
      <c r="H5" s="10">
        <v>11</v>
      </c>
      <c r="J5" s="10" t="s">
        <v>107</v>
      </c>
    </row>
    <row r="6" spans="1:10">
      <c r="A6" s="8" t="s">
        <v>21</v>
      </c>
      <c r="B6" s="8" t="s">
        <v>23</v>
      </c>
      <c r="C6" s="8" t="s">
        <v>22</v>
      </c>
      <c r="E6" s="9" t="str">
        <f t="shared" si="0"/>
        <v>North Face Backpack</v>
      </c>
      <c r="H6" s="8">
        <v>22</v>
      </c>
      <c r="J6" s="8" t="s">
        <v>107</v>
      </c>
    </row>
    <row r="7" spans="1:10">
      <c r="A7" s="10" t="s">
        <v>25</v>
      </c>
      <c r="B7" s="11" t="s">
        <v>27</v>
      </c>
      <c r="C7" s="11" t="s">
        <v>26</v>
      </c>
      <c r="E7" s="9" t="str">
        <f t="shared" si="0"/>
        <v>Sony Headphones</v>
      </c>
      <c r="H7" s="10">
        <v>7</v>
      </c>
      <c r="J7" s="10" t="s">
        <v>108</v>
      </c>
    </row>
    <row r="8" spans="1:10">
      <c r="A8" s="8" t="s">
        <v>29</v>
      </c>
      <c r="B8" s="8" t="s">
        <v>31</v>
      </c>
      <c r="C8" s="8" t="s">
        <v>109</v>
      </c>
      <c r="E8" s="9" t="str">
        <f t="shared" si="0"/>
        <v>Adidas T-Shirt</v>
      </c>
      <c r="H8" s="8">
        <v>19</v>
      </c>
      <c r="J8" s="8" t="s">
        <v>108</v>
      </c>
    </row>
    <row r="9" spans="1:10">
      <c r="A9" s="10" t="s">
        <v>32</v>
      </c>
      <c r="B9" s="11" t="s">
        <v>34</v>
      </c>
      <c r="C9" s="11" t="s">
        <v>33</v>
      </c>
      <c r="E9" s="9" t="str">
        <f t="shared" si="0"/>
        <v>Ninja Blender</v>
      </c>
      <c r="H9" s="10">
        <v>23</v>
      </c>
      <c r="J9" s="10" t="s">
        <v>108</v>
      </c>
    </row>
    <row r="10" spans="1:10">
      <c r="A10" s="8" t="s">
        <v>35</v>
      </c>
      <c r="B10" s="8" t="s">
        <v>37</v>
      </c>
      <c r="C10" s="8" t="s">
        <v>36</v>
      </c>
      <c r="E10" s="9" t="str">
        <f t="shared" si="0"/>
        <v>Apple Tablet</v>
      </c>
      <c r="H10" s="8">
        <v>5</v>
      </c>
      <c r="J10" s="8" t="s">
        <v>108</v>
      </c>
    </row>
    <row r="11" spans="1:10">
      <c r="A11" s="10" t="s">
        <v>38</v>
      </c>
      <c r="B11" s="11" t="s">
        <v>40</v>
      </c>
      <c r="C11" s="11" t="s">
        <v>39</v>
      </c>
      <c r="E11" s="9" t="str">
        <f t="shared" si="0"/>
        <v>Timberland Hiking Boots</v>
      </c>
      <c r="H11" s="10">
        <v>14</v>
      </c>
      <c r="J11" s="10" t="s">
        <v>108</v>
      </c>
    </row>
    <row r="12" spans="1:10">
      <c r="A12" s="8" t="s">
        <v>42</v>
      </c>
      <c r="B12" s="8" t="s">
        <v>44</v>
      </c>
      <c r="C12" s="8" t="s">
        <v>43</v>
      </c>
      <c r="E12" s="9" t="str">
        <f t="shared" si="0"/>
        <v>HP Laptop</v>
      </c>
      <c r="H12" s="8">
        <v>17</v>
      </c>
      <c r="J12" s="8" t="s">
        <v>110</v>
      </c>
    </row>
    <row r="13" spans="1:10">
      <c r="A13" s="10" t="s">
        <v>45</v>
      </c>
      <c r="B13" s="11" t="s">
        <v>31</v>
      </c>
      <c r="C13" s="11" t="s">
        <v>11</v>
      </c>
      <c r="E13" s="9" t="str">
        <f t="shared" si="0"/>
        <v>Adidas Sneakers</v>
      </c>
      <c r="H13" s="10">
        <v>25</v>
      </c>
      <c r="J13" s="10" t="s">
        <v>111</v>
      </c>
    </row>
    <row r="14" spans="1:10">
      <c r="A14" s="8" t="s">
        <v>46</v>
      </c>
      <c r="B14" s="8" t="s">
        <v>47</v>
      </c>
      <c r="C14" s="8" t="s">
        <v>15</v>
      </c>
      <c r="E14" s="9" t="str">
        <f t="shared" si="0"/>
        <v>Nespresso Coffee Maker</v>
      </c>
      <c r="H14" s="8">
        <v>8</v>
      </c>
      <c r="J14" s="8" t="s">
        <v>112</v>
      </c>
    </row>
    <row r="15" spans="1:10">
      <c r="A15" s="10" t="s">
        <v>48</v>
      </c>
      <c r="B15" s="11" t="s">
        <v>50</v>
      </c>
      <c r="C15" s="11" t="s">
        <v>49</v>
      </c>
      <c r="E15" s="9" t="str">
        <f t="shared" si="0"/>
        <v>Fitbit Smartwatch</v>
      </c>
      <c r="H15" s="10">
        <v>18</v>
      </c>
      <c r="J15" s="10" t="s">
        <v>113</v>
      </c>
    </row>
    <row r="16" spans="1:10">
      <c r="A16" s="8" t="s">
        <v>51</v>
      </c>
      <c r="B16" s="8" t="s">
        <v>53</v>
      </c>
      <c r="C16" s="8" t="s">
        <v>26</v>
      </c>
      <c r="E16" s="9" t="str">
        <f t="shared" si="0"/>
        <v>Bose Headphones</v>
      </c>
      <c r="H16" s="8">
        <v>16</v>
      </c>
      <c r="J16" s="8" t="s">
        <v>114</v>
      </c>
    </row>
    <row r="17" spans="1:10">
      <c r="A17" s="10" t="s">
        <v>54</v>
      </c>
      <c r="B17" s="11" t="s">
        <v>56</v>
      </c>
      <c r="C17" s="11" t="s">
        <v>55</v>
      </c>
      <c r="E17" s="9" t="str">
        <f t="shared" si="0"/>
        <v>Samsonite Laptop Bag</v>
      </c>
      <c r="H17" s="10">
        <v>21</v>
      </c>
      <c r="J17" s="10" t="s">
        <v>113</v>
      </c>
    </row>
    <row r="18" spans="1:10">
      <c r="A18" s="8" t="s">
        <v>58</v>
      </c>
      <c r="B18" s="8" t="s">
        <v>59</v>
      </c>
      <c r="C18" s="8" t="s">
        <v>49</v>
      </c>
      <c r="E18" s="9" t="str">
        <f t="shared" si="0"/>
        <v>Huawei Smartwatch</v>
      </c>
      <c r="H18" s="8">
        <v>20</v>
      </c>
      <c r="J18" s="8" t="s">
        <v>115</v>
      </c>
    </row>
    <row r="19" spans="1:10">
      <c r="A19" s="10" t="s">
        <v>60</v>
      </c>
      <c r="B19" s="11" t="s">
        <v>61</v>
      </c>
      <c r="C19" s="11" t="s">
        <v>43</v>
      </c>
      <c r="E19" s="9" t="str">
        <f t="shared" si="0"/>
        <v>Asus Laptop</v>
      </c>
      <c r="H19" s="10">
        <v>27</v>
      </c>
      <c r="J19" s="10" t="s">
        <v>116</v>
      </c>
    </row>
    <row r="20" spans="1:10">
      <c r="A20" s="8" t="s">
        <v>62</v>
      </c>
      <c r="B20" s="8" t="s">
        <v>64</v>
      </c>
      <c r="C20" s="8" t="s">
        <v>63</v>
      </c>
      <c r="E20" s="9" t="str">
        <f t="shared" si="0"/>
        <v>Oakley Sunglasses</v>
      </c>
      <c r="H20" s="8">
        <v>1</v>
      </c>
      <c r="J20" s="8" t="s">
        <v>108</v>
      </c>
    </row>
    <row r="21" spans="1:10">
      <c r="A21" s="10" t="s">
        <v>65</v>
      </c>
      <c r="B21" s="11" t="s">
        <v>67</v>
      </c>
      <c r="C21" s="11" t="s">
        <v>66</v>
      </c>
      <c r="E21" s="9" t="str">
        <f t="shared" si="0"/>
        <v>Coleman Camping Tent</v>
      </c>
      <c r="H21" s="10">
        <v>14</v>
      </c>
      <c r="J21" s="10" t="s">
        <v>107</v>
      </c>
    </row>
    <row r="22" spans="1:10">
      <c r="A22" s="8" t="s">
        <v>68</v>
      </c>
      <c r="B22" s="8" t="s">
        <v>70</v>
      </c>
      <c r="C22" s="8" t="s">
        <v>69</v>
      </c>
      <c r="E22" s="9" t="str">
        <f t="shared" si="0"/>
        <v>Nikon Camera</v>
      </c>
      <c r="H22" s="8">
        <v>14</v>
      </c>
      <c r="J22" s="8" t="s">
        <v>117</v>
      </c>
    </row>
    <row r="23" spans="1:10">
      <c r="A23" s="10" t="s">
        <v>71</v>
      </c>
      <c r="B23" s="11" t="s">
        <v>73</v>
      </c>
      <c r="C23" s="11" t="s">
        <v>72</v>
      </c>
      <c r="E23" s="9" t="str">
        <f t="shared" si="0"/>
        <v>Panasonic Microwave</v>
      </c>
      <c r="H23" s="10">
        <v>9</v>
      </c>
      <c r="J23" s="10" t="s">
        <v>113</v>
      </c>
    </row>
    <row r="24" spans="1:10">
      <c r="A24" s="8" t="s">
        <v>74</v>
      </c>
      <c r="B24" s="8" t="s">
        <v>76</v>
      </c>
      <c r="C24" s="8" t="s">
        <v>75</v>
      </c>
      <c r="E24" s="9" t="str">
        <f t="shared" si="0"/>
        <v>Xiaomi Fitness Tracker</v>
      </c>
      <c r="H24" s="8">
        <v>19</v>
      </c>
      <c r="J24" s="8" t="s">
        <v>118</v>
      </c>
    </row>
    <row r="25" spans="1:10">
      <c r="A25" s="12" t="s">
        <v>77</v>
      </c>
      <c r="B25" s="13" t="s">
        <v>79</v>
      </c>
      <c r="C25" s="13" t="s">
        <v>78</v>
      </c>
      <c r="E25" s="9" t="str">
        <f t="shared" si="0"/>
        <v>Google Smartphone</v>
      </c>
      <c r="H25" s="12">
        <v>29</v>
      </c>
      <c r="J25" s="12" t="s">
        <v>113</v>
      </c>
    </row>
    <row r="26" spans="1:10">
      <c r="A26" s="14" t="s">
        <v>80</v>
      </c>
      <c r="B26" s="14" t="s">
        <v>81</v>
      </c>
      <c r="C26" s="14" t="s">
        <v>63</v>
      </c>
      <c r="E26" s="9" t="str">
        <f t="shared" si="0"/>
        <v>Ray-Ban Sunglasses</v>
      </c>
      <c r="H26" s="14">
        <v>3</v>
      </c>
      <c r="J26" s="14" t="s">
        <v>113</v>
      </c>
    </row>
    <row r="27" spans="1:10">
      <c r="A27" s="12" t="s">
        <v>82</v>
      </c>
      <c r="B27" s="13" t="s">
        <v>83</v>
      </c>
      <c r="C27" s="13" t="s">
        <v>33</v>
      </c>
      <c r="E27" s="9" t="str">
        <f t="shared" si="0"/>
        <v>Vitamix Blender</v>
      </c>
      <c r="H27" s="12">
        <v>11</v>
      </c>
      <c r="J27" s="12" t="s">
        <v>113</v>
      </c>
    </row>
    <row r="28" spans="1:10">
      <c r="A28" s="8" t="s">
        <v>84</v>
      </c>
      <c r="B28" s="8" t="s">
        <v>86</v>
      </c>
      <c r="C28" s="8" t="s">
        <v>85</v>
      </c>
      <c r="E28" s="9" t="str">
        <f t="shared" si="0"/>
        <v>Zara Dress</v>
      </c>
      <c r="H28" s="8">
        <v>7</v>
      </c>
      <c r="J28" s="8" t="s">
        <v>113</v>
      </c>
    </row>
    <row r="29" spans="1:10">
      <c r="A29" s="10" t="s">
        <v>87</v>
      </c>
      <c r="B29" s="11" t="s">
        <v>89</v>
      </c>
      <c r="C29" s="11" t="s">
        <v>88</v>
      </c>
      <c r="E29" s="9" t="str">
        <f t="shared" si="0"/>
        <v>Hamilton Toaster</v>
      </c>
      <c r="H29" s="10">
        <v>13</v>
      </c>
      <c r="J29" s="10" t="s">
        <v>113</v>
      </c>
    </row>
    <row r="30" spans="1:10">
      <c r="A30" s="8" t="s">
        <v>90</v>
      </c>
      <c r="B30" s="8" t="s">
        <v>91</v>
      </c>
      <c r="C30" s="8" t="s">
        <v>75</v>
      </c>
      <c r="E30" s="9" t="str">
        <f t="shared" si="0"/>
        <v>Garmin Fitness Tracker</v>
      </c>
      <c r="H30" s="8">
        <v>24</v>
      </c>
      <c r="J30" s="8" t="s">
        <v>113</v>
      </c>
    </row>
    <row r="31" spans="1:10">
      <c r="A31" s="10" t="s">
        <v>92</v>
      </c>
      <c r="B31" s="11" t="s">
        <v>94</v>
      </c>
      <c r="C31" s="11" t="s">
        <v>93</v>
      </c>
      <c r="E31" s="9" t="str">
        <f t="shared" si="0"/>
        <v>Levi's Jeans</v>
      </c>
      <c r="H31" s="10">
        <v>2</v>
      </c>
      <c r="J31" s="10" t="s">
        <v>113</v>
      </c>
    </row>
    <row r="32" spans="1:10">
      <c r="A32" s="14" t="s">
        <v>95</v>
      </c>
      <c r="B32" s="14" t="s">
        <v>97</v>
      </c>
      <c r="C32" s="14" t="s">
        <v>96</v>
      </c>
      <c r="E32" s="9" t="str">
        <f>CONCATENATE(B32,"  ",C32)</f>
        <v>Casio  Watch</v>
      </c>
      <c r="H32" s="14">
        <v>9</v>
      </c>
      <c r="J32" s="14" t="s">
        <v>119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B2" sqref="B2:B32"/>
    </sheetView>
  </sheetViews>
  <sheetFormatPr defaultColWidth="9" defaultRowHeight="15" outlineLevelCol="1"/>
  <cols>
    <col min="1" max="1" width="15.8571428571429" customWidth="1"/>
    <col min="2" max="2" width="19.4285714285714" customWidth="1"/>
  </cols>
  <sheetData>
    <row r="1" spans="1:2">
      <c r="A1" s="1" t="s">
        <v>120</v>
      </c>
      <c r="B1" s="2" t="s">
        <v>121</v>
      </c>
    </row>
    <row r="2" spans="1:2">
      <c r="A2">
        <v>1000</v>
      </c>
      <c r="B2" s="3" t="s">
        <v>9</v>
      </c>
    </row>
    <row r="3" spans="1:2">
      <c r="A3">
        <v>80</v>
      </c>
      <c r="B3" s="3" t="s">
        <v>13</v>
      </c>
    </row>
    <row r="4" spans="1:2">
      <c r="A4">
        <v>130</v>
      </c>
      <c r="B4" s="3" t="s">
        <v>17</v>
      </c>
    </row>
    <row r="5" spans="1:2">
      <c r="A5">
        <v>900</v>
      </c>
      <c r="B5" s="3" t="s">
        <v>9</v>
      </c>
    </row>
    <row r="6" spans="1:2">
      <c r="A6">
        <v>70</v>
      </c>
      <c r="B6" s="3" t="s">
        <v>122</v>
      </c>
    </row>
    <row r="7" spans="1:2">
      <c r="A7">
        <v>250</v>
      </c>
      <c r="B7" s="3" t="s">
        <v>9</v>
      </c>
    </row>
    <row r="8" spans="1:2">
      <c r="A8">
        <v>30</v>
      </c>
      <c r="B8" s="3" t="s">
        <v>13</v>
      </c>
    </row>
    <row r="9" spans="1:2">
      <c r="A9">
        <v>90</v>
      </c>
      <c r="B9" s="3" t="s">
        <v>17</v>
      </c>
    </row>
    <row r="10" spans="1:2">
      <c r="A10">
        <v>500</v>
      </c>
      <c r="B10" s="3" t="s">
        <v>9</v>
      </c>
    </row>
    <row r="11" spans="1:2">
      <c r="A11">
        <v>130</v>
      </c>
      <c r="B11" s="3" t="s">
        <v>41</v>
      </c>
    </row>
    <row r="12" spans="1:2">
      <c r="A12">
        <v>950</v>
      </c>
      <c r="B12" s="3" t="s">
        <v>9</v>
      </c>
    </row>
    <row r="13" spans="1:2">
      <c r="A13">
        <v>90</v>
      </c>
      <c r="B13" s="3" t="s">
        <v>122</v>
      </c>
    </row>
    <row r="14" spans="1:2">
      <c r="A14">
        <v>120</v>
      </c>
      <c r="B14" s="3" t="s">
        <v>122</v>
      </c>
    </row>
    <row r="15" spans="1:2">
      <c r="A15">
        <v>150</v>
      </c>
      <c r="B15" s="3" t="s">
        <v>9</v>
      </c>
    </row>
    <row r="16" spans="1:2">
      <c r="A16">
        <v>250</v>
      </c>
      <c r="B16" s="3" t="s">
        <v>9</v>
      </c>
    </row>
    <row r="17" spans="1:2">
      <c r="A17">
        <v>50</v>
      </c>
      <c r="B17" s="3" t="s">
        <v>57</v>
      </c>
    </row>
    <row r="18" spans="1:2">
      <c r="A18">
        <v>160</v>
      </c>
      <c r="B18" s="3" t="s">
        <v>9</v>
      </c>
    </row>
    <row r="19" spans="1:2">
      <c r="A19">
        <v>980</v>
      </c>
      <c r="B19" s="3" t="s">
        <v>9</v>
      </c>
    </row>
    <row r="20" spans="1:2">
      <c r="A20">
        <v>150</v>
      </c>
      <c r="B20" s="3" t="s">
        <v>13</v>
      </c>
    </row>
    <row r="21" spans="1:2">
      <c r="A21">
        <v>1000</v>
      </c>
      <c r="B21" s="3" t="s">
        <v>41</v>
      </c>
    </row>
    <row r="22" spans="1:2">
      <c r="A22">
        <v>700</v>
      </c>
      <c r="B22" s="3" t="s">
        <v>9</v>
      </c>
    </row>
    <row r="23" spans="1:2">
      <c r="A23">
        <v>80</v>
      </c>
      <c r="B23" s="3" t="s">
        <v>17</v>
      </c>
    </row>
    <row r="24" spans="1:2">
      <c r="A24">
        <v>150</v>
      </c>
      <c r="B24" s="3" t="s">
        <v>122</v>
      </c>
    </row>
    <row r="25" spans="1:2">
      <c r="A25">
        <v>800</v>
      </c>
      <c r="B25" s="3" t="s">
        <v>9</v>
      </c>
    </row>
    <row r="26" spans="1:2">
      <c r="A26">
        <v>150</v>
      </c>
      <c r="B26" s="3" t="s">
        <v>13</v>
      </c>
    </row>
    <row r="27" spans="1:2">
      <c r="A27">
        <v>400</v>
      </c>
      <c r="B27" s="3" t="s">
        <v>17</v>
      </c>
    </row>
    <row r="28" spans="1:2">
      <c r="A28">
        <v>60</v>
      </c>
      <c r="B28" s="3" t="s">
        <v>13</v>
      </c>
    </row>
    <row r="29" spans="1:2">
      <c r="A29">
        <v>40</v>
      </c>
      <c r="B29" s="3" t="s">
        <v>17</v>
      </c>
    </row>
    <row r="30" spans="1:2">
      <c r="A30">
        <v>130</v>
      </c>
      <c r="B30" s="3" t="s">
        <v>9</v>
      </c>
    </row>
    <row r="31" spans="1:2">
      <c r="A31">
        <v>50</v>
      </c>
      <c r="B31" s="3" t="s">
        <v>13</v>
      </c>
    </row>
    <row r="32" spans="1:2">
      <c r="A32">
        <v>100</v>
      </c>
      <c r="B32" s="3" t="s">
        <v>57</v>
      </c>
    </row>
  </sheetData>
  <conditionalFormatting sqref="A2:A3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{2d703af3-9c14-4a23-83d3-ed658212afc0}</x14:id>
        </ext>
      </extLst>
    </cfRule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{9991a7d7-dd03-4705-9870-cbca927b4e2f}</x14:id>
        </ext>
      </extLst>
    </cfRule>
  </conditionalFormatting>
  <conditionalFormatting sqref="B2:B32">
    <cfRule type="containsText" dxfId="0" priority="1" operator="between" text="Electronics">
      <formula>NOT(ISERROR(SEARCH("Electronics",B2)))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703af3-9c14-4a23-83d3-ed658212afc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91a7d7-dd03-4705-9870-cbca927b4e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A2:A32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Removed Duplicates</vt:lpstr>
      <vt:lpstr>Handling Missing Values</vt:lpstr>
      <vt:lpstr>Category Imputation</vt:lpstr>
      <vt:lpstr>Number Formatting</vt:lpstr>
      <vt:lpstr>Correcting Inconsistent Data</vt:lpstr>
      <vt:lpstr>Splitting and Merging Data</vt:lpstr>
      <vt:lpstr>Conditional Formatting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Aarthi-PC</cp:lastModifiedBy>
  <dcterms:created xsi:type="dcterms:W3CDTF">2026-08-13T04:40:00Z</dcterms:created>
  <dcterms:modified xsi:type="dcterms:W3CDTF">2026-08-29T17:55:30Z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54052B8FFDDC45B78AA65EE22D58B039_12</vt:lpwstr>
  </property>
  <property fmtid="{D5CDD505-2E9C-101B-9397-08002B2CF9AE}" pid="3" name="KSOProductBuildVer">
    <vt:lpwstr>1033-12.2.0.23196</vt:lpwstr>
  </property>
</Properties>
</file>